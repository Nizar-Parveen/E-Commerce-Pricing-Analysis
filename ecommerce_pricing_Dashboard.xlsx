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t\Projects\Project18\"/>
    </mc:Choice>
  </mc:AlternateContent>
  <xr:revisionPtr revIDLastSave="0" documentId="13_ncr:1_{2FB98392-94A3-4328-A3A6-50F3F7CB7BAF}" xr6:coauthVersionLast="36" xr6:coauthVersionMax="36" xr10:uidLastSave="{00000000-0000-0000-0000-000000000000}"/>
  <bookViews>
    <workbookView xWindow="0" yWindow="0" windowWidth="23040" windowHeight="8940" activeTab="2" xr2:uid="{00000000-000D-0000-FFFF-FFFF00000000}"/>
  </bookViews>
  <sheets>
    <sheet name="Dashboard" sheetId="3" r:id="rId1"/>
    <sheet name="ecommerce_pricing_cleaned" sheetId="1" r:id="rId2"/>
    <sheet name="Pivot" sheetId="2" r:id="rId3"/>
  </sheets>
  <definedNames>
    <definedName name="_xlnm._FilterDatabase" localSheetId="1" hidden="1">ecommerce_pricing_cleaned!$A$1:$M$381</definedName>
  </definedName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D8" i="2" l="1"/>
  <c r="E5" i="2"/>
  <c r="E4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2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</calcChain>
</file>

<file path=xl/sharedStrings.xml><?xml version="1.0" encoding="utf-8"?>
<sst xmlns="http://schemas.openxmlformats.org/spreadsheetml/2006/main" count="809" uniqueCount="50">
  <si>
    <t>Product_ID</t>
  </si>
  <si>
    <t>Product_Name</t>
  </si>
  <si>
    <t>Category</t>
  </si>
  <si>
    <t>Our_Price</t>
  </si>
  <si>
    <t>Competitor_A_Price</t>
  </si>
  <si>
    <t>Competitor_B_Price</t>
  </si>
  <si>
    <t>Stock</t>
  </si>
  <si>
    <t>Rating</t>
  </si>
  <si>
    <t>Last_Updated</t>
  </si>
  <si>
    <t>Office Chair</t>
  </si>
  <si>
    <t>Home</t>
  </si>
  <si>
    <t>Yoga Mat</t>
  </si>
  <si>
    <t>Furniture</t>
  </si>
  <si>
    <t>Water Bottle</t>
  </si>
  <si>
    <t>Electronics</t>
  </si>
  <si>
    <t>Cotton Shirt</t>
  </si>
  <si>
    <t>Accessories</t>
  </si>
  <si>
    <t>Running Shoes</t>
  </si>
  <si>
    <t>Headphones</t>
  </si>
  <si>
    <t>Fashion</t>
  </si>
  <si>
    <t>Backpack</t>
  </si>
  <si>
    <t>Gaming Keyboard</t>
  </si>
  <si>
    <t>Wireless Mouse</t>
  </si>
  <si>
    <t>Mixer Grinder</t>
  </si>
  <si>
    <t>Bluetooth Speaker</t>
  </si>
  <si>
    <t>Laptop Bag</t>
  </si>
  <si>
    <t>Smart Watch</t>
  </si>
  <si>
    <t>Electric Kettle</t>
  </si>
  <si>
    <t>LED Bulb Pack</t>
  </si>
  <si>
    <t>Wall Clock</t>
  </si>
  <si>
    <t>Mobile Cover</t>
  </si>
  <si>
    <t>Desk Lamp</t>
  </si>
  <si>
    <t>Study Table</t>
  </si>
  <si>
    <t>Power Bank</t>
  </si>
  <si>
    <t>Competitor_Avg_Price</t>
  </si>
  <si>
    <t>Price_Difference</t>
  </si>
  <si>
    <t>Pricing_Status</t>
  </si>
  <si>
    <t>Row Labels</t>
  </si>
  <si>
    <t>Competitive</t>
  </si>
  <si>
    <t>Overpriced</t>
  </si>
  <si>
    <t>Underpriced</t>
  </si>
  <si>
    <t>Grand Total</t>
  </si>
  <si>
    <t>Count of Pricing_Status</t>
  </si>
  <si>
    <t>Metric</t>
  </si>
  <si>
    <t>Average Price</t>
  </si>
  <si>
    <t>Our Price</t>
  </si>
  <si>
    <t>Market Avg Price</t>
  </si>
  <si>
    <t>Column Labels</t>
  </si>
  <si>
    <t>Total Products</t>
  </si>
  <si>
    <t>Max of Price_Difference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</si>
</sst>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Our_Price</a:t>
            </a:r>
            <a:r>
              <a:rPr lang="en-US" baseline="0"/>
              <a:t> Vs Market </a:t>
            </a:r>
            <a:r>
              <a:rPr lang="en-US"/>
              <a:t>Average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Average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Pivot!$D$4:$D$5</c:f>
              <c:strCache>
                <c:ptCount val="2"/>
                <c:pt idx="0">
                  <c:v>Our Price</c:v>
                </c:pt>
                <c:pt idx="1">
                  <c:v>Market Avg Price</c:v>
                </c:pt>
              </c:strCache>
            </c:strRef>
          </c:cat>
          <c:val>
            <c:numRef>
              <c:f>Pivot!$E$4:$E$5</c:f>
              <c:numCache>
                <c:formatCode>General</c:formatCode>
                <c:ptCount val="2"/>
                <c:pt idx="0">
                  <c:v>3244.0881578947369</c:v>
                </c:pt>
                <c:pt idx="1">
                  <c:v>3172.8934210526318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3-45C9-9942-22ADC1EDE0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4157296"/>
        <c:axId val="659110016"/>
      </c:barChart>
      <c:catAx>
        <c:axId val="66415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110016"/>
        <c:crosses val="autoZero"/>
        <c:auto val="1"/>
        <c:lblAlgn val="ctr"/>
        <c:lblOffset val="100"/>
        <c:noMultiLvlLbl val="0"/>
      </c:catAx>
      <c:valAx>
        <c:axId val="65911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5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[ecommerce_pricing_cleaned.xlsx]Pivot!PivotTable2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Pricing</a:t>
            </a:r>
            <a:endParaRPr lang="en-US"/>
          </a:p>
        </c:rich>
      </c:tx>
      <c:layout>
        <c:manualLayout>
          <c:xMode val="edge"/>
          <c:yMode val="edge"/>
          <c:x val="0.3510860711376594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5144175943524299E-2"/>
          <c:y val="6.0185275753574283E-2"/>
          <c:w val="0.7148311461067367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Pivot!$H$3:$H$4</c:f>
              <c:strCache>
                <c:ptCount val="1"/>
                <c:pt idx="0">
                  <c:v>Competitive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Pivot!$G$5:$G$9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Home</c:v>
                </c:pt>
              </c:strCache>
            </c:strRef>
          </c:cat>
          <c:val>
            <c:numRef>
              <c:f>Pivot!$H$5:$H$9</c:f>
              <c:numCache>
                <c:formatCode>General</c:formatCode>
                <c:ptCount val="5"/>
                <c:pt idx="0">
                  <c:v>38</c:v>
                </c:pt>
                <c:pt idx="1">
                  <c:v>46</c:v>
                </c:pt>
                <c:pt idx="2">
                  <c:v>35</c:v>
                </c:pt>
                <c:pt idx="3">
                  <c:v>57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0-4AB0-AF6A-DB2C68D96641}"/>
            </c:ext>
          </c:extLst>
        </c:ser>
        <c:ser>
          <c:idx val="1"/>
          <c:order val="1"/>
          <c:tx>
            <c:strRef>
              <c:f>Pivot!$I$3:$I$4</c:f>
              <c:strCache>
                <c:ptCount val="1"/>
                <c:pt idx="0">
                  <c:v>Overpriced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Pivot!$G$5:$G$9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Home</c:v>
                </c:pt>
              </c:strCache>
            </c:strRef>
          </c:cat>
          <c:val>
            <c:numRef>
              <c:f>Pivot!$I$5:$I$9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21</c:v>
                </c:pt>
                <c:pt idx="3">
                  <c:v>14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0-4AB0-AF6A-DB2C68D96641}"/>
            </c:ext>
          </c:extLst>
        </c:ser>
        <c:ser>
          <c:idx val="2"/>
          <c:order val="2"/>
          <c:tx>
            <c:strRef>
              <c:f>Pivot!$J$3:$J$4</c:f>
              <c:strCache>
                <c:ptCount val="1"/>
                <c:pt idx="0">
                  <c:v>Underpriced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Pivot!$G$5:$G$9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Home</c:v>
                </c:pt>
              </c:strCache>
            </c:strRef>
          </c:cat>
          <c:val>
            <c:numRef>
              <c:f>Pivot!$J$5:$J$9</c:f>
              <c:numCache>
                <c:formatCode>General</c:formatCode>
                <c:ptCount val="5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C0-4AB0-AF6A-DB2C68D96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118608"/>
        <c:axId val="265681872"/>
      </c:barChart>
      <c:catAx>
        <c:axId val="75111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81872"/>
        <c:crosses val="autoZero"/>
        <c:auto val="1"/>
        <c:lblAlgn val="ctr"/>
        <c:lblOffset val="100"/>
        <c:noMultiLvlLbl val="0"/>
      </c:catAx>
      <c:valAx>
        <c:axId val="26568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1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[ecommerce_pricing_cleaned.xlsx]Pivot!PivotTable1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Pricing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D3-4DD8-85B9-AFC9EE0405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D3-4DD8-85B9-AFC9EE0405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D3-4DD8-85B9-AFC9EE0405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Pivot!$A$4:$A$7</c:f>
              <c:strCache>
                <c:ptCount val="3"/>
                <c:pt idx="0">
                  <c:v>Competitive</c:v>
                </c:pt>
                <c:pt idx="1">
                  <c:v>Overpriced</c:v>
                </c:pt>
                <c:pt idx="2">
                  <c:v>Underpriced</c:v>
                </c:pt>
              </c:strCache>
            </c:strRef>
          </c:cat>
          <c:val>
            <c:numRef>
              <c:f>Pivot!$B$4:$B$7</c:f>
              <c:numCache>
                <c:formatCode>General</c:formatCode>
                <c:ptCount val="3"/>
                <c:pt idx="0">
                  <c:v>209</c:v>
                </c:pt>
                <c:pt idx="1">
                  <c:v>95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D3-4DD8-85B9-AFC9EE0405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[ecommerce_pricing_cleaned.xlsx]Pivot!PivotTable3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Overpriced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Pivot!$L$4:$L$14</c:f>
              <c:strCache>
                <c:ptCount val="10"/>
                <c:pt idx="0">
                  <c:v>Mixer Grinder</c:v>
                </c:pt>
                <c:pt idx="1">
                  <c:v>Gaming Keyboard</c:v>
                </c:pt>
                <c:pt idx="2">
                  <c:v>Water Bottle</c:v>
                </c:pt>
                <c:pt idx="3">
                  <c:v>Electric Kettle</c:v>
                </c:pt>
                <c:pt idx="4">
                  <c:v>Wall Clock</c:v>
                </c:pt>
                <c:pt idx="5">
                  <c:v>Power Bank</c:v>
                </c:pt>
                <c:pt idx="6">
                  <c:v>LED Bulb Pack</c:v>
                </c:pt>
                <c:pt idx="7">
                  <c:v>Bluetooth Speaker</c:v>
                </c:pt>
                <c:pt idx="8">
                  <c:v>Study Table</c:v>
                </c:pt>
                <c:pt idx="9">
                  <c:v>Yoga Mat</c:v>
                </c:pt>
              </c:strCache>
            </c:strRef>
          </c:cat>
          <c:val>
            <c:numRef>
              <c:f>Pivot!$M$4:$M$14</c:f>
              <c:numCache>
                <c:formatCode>General</c:formatCode>
                <c:ptCount val="10"/>
                <c:pt idx="0">
                  <c:v>4994</c:v>
                </c:pt>
                <c:pt idx="1">
                  <c:v>4887</c:v>
                </c:pt>
                <c:pt idx="2">
                  <c:v>4737</c:v>
                </c:pt>
                <c:pt idx="3">
                  <c:v>4686</c:v>
                </c:pt>
                <c:pt idx="4">
                  <c:v>4133</c:v>
                </c:pt>
                <c:pt idx="5">
                  <c:v>3816</c:v>
                </c:pt>
                <c:pt idx="6">
                  <c:v>3532</c:v>
                </c:pt>
                <c:pt idx="7">
                  <c:v>3469</c:v>
                </c:pt>
                <c:pt idx="8">
                  <c:v>3463</c:v>
                </c:pt>
                <c:pt idx="9">
                  <c:v>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F-430F-A699-82B73FEA1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0801983"/>
        <c:axId val="291790831"/>
      </c:barChart>
      <c:catAx>
        <c:axId val="30080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90831"/>
        <c:crosses val="autoZero"/>
        <c:auto val="1"/>
        <c:lblAlgn val="ctr"/>
        <c:lblOffset val="100"/>
        <c:noMultiLvlLbl val="0"/>
      </c:catAx>
      <c:valAx>
        <c:axId val="29179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80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[ecommerce_pricing_cleaned.xlsx]Pivot!PivotTable1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Pricing Status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FA-41CC-95F7-BD0A711605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FA-41CC-95F7-BD0A711605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FA-41CC-95F7-BD0A711605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Pivot!$A$4:$A$7</c:f>
              <c:strCache>
                <c:ptCount val="3"/>
                <c:pt idx="0">
                  <c:v>Competitive</c:v>
                </c:pt>
                <c:pt idx="1">
                  <c:v>Overpriced</c:v>
                </c:pt>
                <c:pt idx="2">
                  <c:v>Underpriced</c:v>
                </c:pt>
              </c:strCache>
            </c:strRef>
          </c:cat>
          <c:val>
            <c:numRef>
              <c:f>Pivot!$B$4:$B$7</c:f>
              <c:numCache>
                <c:formatCode>General</c:formatCode>
                <c:ptCount val="3"/>
                <c:pt idx="0">
                  <c:v>209</c:v>
                </c:pt>
                <c:pt idx="1">
                  <c:v>95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B-4967-B669-B3372C05E45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Our_Price</a:t>
            </a:r>
            <a:r>
              <a:rPr lang="en-US" baseline="0"/>
              <a:t> Vs Market </a:t>
            </a:r>
            <a:r>
              <a:rPr lang="en-US"/>
              <a:t>Average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Pivot!$E$3</c:f>
              <c:strCache>
                <c:ptCount val="1"/>
                <c:pt idx="0">
                  <c:v>Average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Pivot!$D$4:$D$5</c:f>
              <c:strCache>
                <c:ptCount val="2"/>
                <c:pt idx="0">
                  <c:v>Our Price</c:v>
                </c:pt>
                <c:pt idx="1">
                  <c:v>Market Avg Price</c:v>
                </c:pt>
              </c:strCache>
            </c:strRef>
          </c:cat>
          <c:val>
            <c:numRef>
              <c:f>Pivot!$E$4:$E$5</c:f>
              <c:numCache>
                <c:formatCode>General</c:formatCode>
                <c:ptCount val="2"/>
                <c:pt idx="0">
                  <c:v>3244.0881578947369</c:v>
                </c:pt>
                <c:pt idx="1">
                  <c:v>3172.8934210526318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2-4704-A2DA-835EC48A2A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4157296"/>
        <c:axId val="659110016"/>
      </c:barChart>
      <c:catAx>
        <c:axId val="66415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110016"/>
        <c:crosses val="autoZero"/>
        <c:auto val="1"/>
        <c:lblAlgn val="ctr"/>
        <c:lblOffset val="100"/>
        <c:noMultiLvlLbl val="0"/>
      </c:catAx>
      <c:valAx>
        <c:axId val="65911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5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[ecommerce_pricing_cleaned.xlsx]Pivot!PivotTable2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1025371828521434E-2"/>
          <c:y val="4.6296296296296294E-2"/>
          <c:w val="0.7148311461067367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Pivot!$H$3:$H$4</c:f>
              <c:strCache>
                <c:ptCount val="1"/>
                <c:pt idx="0">
                  <c:v>Competitive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Pivot!$G$5:$G$9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Home</c:v>
                </c:pt>
              </c:strCache>
            </c:strRef>
          </c:cat>
          <c:val>
            <c:numRef>
              <c:f>Pivot!$H$5:$H$9</c:f>
              <c:numCache>
                <c:formatCode>General</c:formatCode>
                <c:ptCount val="5"/>
                <c:pt idx="0">
                  <c:v>38</c:v>
                </c:pt>
                <c:pt idx="1">
                  <c:v>46</c:v>
                </c:pt>
                <c:pt idx="2">
                  <c:v>35</c:v>
                </c:pt>
                <c:pt idx="3">
                  <c:v>57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F-4797-A0A6-8482894B92C4}"/>
            </c:ext>
          </c:extLst>
        </c:ser>
        <c:ser>
          <c:idx val="1"/>
          <c:order val="1"/>
          <c:tx>
            <c:strRef>
              <c:f>Pivot!$I$3:$I$4</c:f>
              <c:strCache>
                <c:ptCount val="1"/>
                <c:pt idx="0">
                  <c:v>Overpriced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Pivot!$G$5:$G$9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Home</c:v>
                </c:pt>
              </c:strCache>
            </c:strRef>
          </c:cat>
          <c:val>
            <c:numRef>
              <c:f>Pivot!$I$5:$I$9</c:f>
              <c:numCache>
                <c:formatCode>General</c:formatCode>
                <c:ptCount val="5"/>
                <c:pt idx="0">
                  <c:v>20</c:v>
                </c:pt>
                <c:pt idx="1">
                  <c:v>19</c:v>
                </c:pt>
                <c:pt idx="2">
                  <c:v>21</c:v>
                </c:pt>
                <c:pt idx="3">
                  <c:v>14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F-4797-A0A6-8482894B92C4}"/>
            </c:ext>
          </c:extLst>
        </c:ser>
        <c:ser>
          <c:idx val="2"/>
          <c:order val="2"/>
          <c:tx>
            <c:strRef>
              <c:f>Pivot!$J$3:$J$4</c:f>
              <c:strCache>
                <c:ptCount val="1"/>
                <c:pt idx="0">
                  <c:v>Underpriced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Pivot!$G$5:$G$9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Home</c:v>
                </c:pt>
              </c:strCache>
            </c:strRef>
          </c:cat>
          <c:val>
            <c:numRef>
              <c:f>Pivot!$J$5:$J$9</c:f>
              <c:numCache>
                <c:formatCode>General</c:formatCode>
                <c:ptCount val="5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FF-4797-A0A6-8482894B9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118608"/>
        <c:axId val="265681872"/>
      </c:barChart>
      <c:catAx>
        <c:axId val="75111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81872"/>
        <c:crosses val="autoZero"/>
        <c:auto val="1"/>
        <c:lblAlgn val="ctr"/>
        <c:lblOffset val="100"/>
        <c:noMultiLvlLbl val="0"/>
      </c:catAx>
      <c:valAx>
        <c:axId val="26568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1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[ecommerce_pricing_cleaned.xlsx]Pivot!PivotTable3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Pivot!$L$4:$L$14</c:f>
              <c:strCache>
                <c:ptCount val="10"/>
                <c:pt idx="0">
                  <c:v>Mixer Grinder</c:v>
                </c:pt>
                <c:pt idx="1">
                  <c:v>Gaming Keyboard</c:v>
                </c:pt>
                <c:pt idx="2">
                  <c:v>Water Bottle</c:v>
                </c:pt>
                <c:pt idx="3">
                  <c:v>Electric Kettle</c:v>
                </c:pt>
                <c:pt idx="4">
                  <c:v>Wall Clock</c:v>
                </c:pt>
                <c:pt idx="5">
                  <c:v>Power Bank</c:v>
                </c:pt>
                <c:pt idx="6">
                  <c:v>LED Bulb Pack</c:v>
                </c:pt>
                <c:pt idx="7">
                  <c:v>Bluetooth Speaker</c:v>
                </c:pt>
                <c:pt idx="8">
                  <c:v>Study Table</c:v>
                </c:pt>
                <c:pt idx="9">
                  <c:v>Yoga Mat</c:v>
                </c:pt>
              </c:strCache>
            </c:strRef>
          </c:cat>
          <c:val>
            <c:numRef>
              <c:f>Pivot!$M$4:$M$14</c:f>
              <c:numCache>
                <c:formatCode>General</c:formatCode>
                <c:ptCount val="10"/>
                <c:pt idx="0">
                  <c:v>4994</c:v>
                </c:pt>
                <c:pt idx="1">
                  <c:v>4887</c:v>
                </c:pt>
                <c:pt idx="2">
                  <c:v>4737</c:v>
                </c:pt>
                <c:pt idx="3">
                  <c:v>4686</c:v>
                </c:pt>
                <c:pt idx="4">
                  <c:v>4133</c:v>
                </c:pt>
                <c:pt idx="5">
                  <c:v>3816</c:v>
                </c:pt>
                <c:pt idx="6">
                  <c:v>3532</c:v>
                </c:pt>
                <c:pt idx="7">
                  <c:v>3469</c:v>
                </c:pt>
                <c:pt idx="8">
                  <c:v>3463</c:v>
                </c:pt>
                <c:pt idx="9">
                  <c:v>3409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B-4AA5-B957-F610F390B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0801983"/>
        <c:axId val="291790831"/>
      </c:barChart>
      <c:catAx>
        <c:axId val="30080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90831"/>
        <c:crosses val="autoZero"/>
        <c:auto val="1"/>
        <c:lblAlgn val="ctr"/>
        <c:lblOffset val="100"/>
        <c:noMultiLvlLbl val="0"/>
      </c:catAx>
      <c:valAx>
        <c:axId val="29179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80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175260</xdr:rowOff>
    </xdr:from>
    <xdr:to>
      <xdr:col>12</xdr:col>
      <xdr:colOff>106680</xdr:colOff>
      <xdr:row>15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CAD62C-0B72-42E7-8319-2493DB49D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403860</xdr:colOff>
      <xdr:row>15</xdr:row>
      <xdr:rowOff>45720</xdr:rowOff>
    </xdr:from>
    <xdr:to>
      <xdr:col>19</xdr:col>
      <xdr:colOff>7620</xdr:colOff>
      <xdr:row>29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F5BC92-C0F4-4117-9636-36FF36A399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7620</xdr:rowOff>
    </xdr:from>
    <xdr:to>
      <xdr:col>19</xdr:col>
      <xdr:colOff>15240</xdr:colOff>
      <xdr:row>2</xdr:row>
      <xdr:rowOff>167640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AE70FE2-D16C-42A3-8AA4-313EA9ADAD86}"/>
            </a:ext>
          </a:extLst>
        </xdr:cNvPr>
        <xdr:cNvSpPr/>
      </xdr:nvSpPr>
      <xdr:spPr>
        <a:xfrm>
          <a:off x="0" y="7620"/>
          <a:ext cx="11597640" cy="52578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 b="1">
              <a:solidFill>
                <a:schemeClr val="accent1"/>
              </a:solidFill>
            </a:rPr>
            <a:t>E-Commerce</a:t>
          </a:r>
          <a:r>
            <a:rPr lang="en-US" sz="3600" b="1" baseline="0">
              <a:solidFill>
                <a:schemeClr val="accent1"/>
              </a:solidFill>
            </a:rPr>
            <a:t> Price Analysis</a:t>
          </a:r>
          <a:endParaRPr lang="en-US" sz="3600" b="1">
            <a:solidFill>
              <a:schemeClr val="accent1"/>
            </a:solidFill>
          </a:endParaRPr>
        </a:p>
      </xdr:txBody>
    </xdr:sp>
    <xdr:clientData/>
  </xdr:twoCellAnchor>
  <xdr:twoCellAnchor>
    <xdr:from>
      <xdr:col>0</xdr:col>
      <xdr:colOff>7620</xdr:colOff>
      <xdr:row>3</xdr:row>
      <xdr:rowOff>0</xdr:rowOff>
    </xdr:from>
    <xdr:to>
      <xdr:col>5</xdr:col>
      <xdr:colOff>0</xdr:colOff>
      <xdr:row>5</xdr:row>
      <xdr:rowOff>121920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9AB8991-D2C6-49F8-A40B-842421C6262B}"/>
            </a:ext>
          </a:extLst>
        </xdr:cNvPr>
        <xdr:cNvSpPr/>
      </xdr:nvSpPr>
      <xdr:spPr>
        <a:xfrm>
          <a:off x="7620" y="548640"/>
          <a:ext cx="3040380" cy="48768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chemeClr val="accent1"/>
              </a:solidFill>
            </a:rPr>
            <a:t>Total</a:t>
          </a:r>
          <a:r>
            <a:rPr lang="en-US" sz="2000" b="1" baseline="0">
              <a:solidFill>
                <a:schemeClr val="accent1"/>
              </a:solidFill>
            </a:rPr>
            <a:t> Products : 380</a:t>
          </a:r>
          <a:endParaRPr lang="en-US" sz="2000" b="1">
            <a:solidFill>
              <a:schemeClr val="accent1"/>
            </a:solidFill>
          </a:endParaRPr>
        </a:p>
      </xdr:txBody>
    </xdr:sp>
    <xdr:clientData/>
  </xdr:twoCellAnchor>
  <xdr:twoCellAnchor>
    <xdr:from>
      <xdr:col>0</xdr:col>
      <xdr:colOff>0</xdr:colOff>
      <xdr:row>8</xdr:row>
      <xdr:rowOff>121920</xdr:rowOff>
    </xdr:from>
    <xdr:to>
      <xdr:col>4</xdr:col>
      <xdr:colOff>601980</xdr:colOff>
      <xdr:row>11</xdr:row>
      <xdr:rowOff>175260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533D64D-B936-4B22-ABF4-EBF176B4734F}"/>
            </a:ext>
          </a:extLst>
        </xdr:cNvPr>
        <xdr:cNvSpPr/>
      </xdr:nvSpPr>
      <xdr:spPr>
        <a:xfrm>
          <a:off x="0" y="1584960"/>
          <a:ext cx="3040380" cy="60198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accent1"/>
              </a:solidFill>
            </a:rPr>
            <a:t>Overpriced</a:t>
          </a:r>
          <a:r>
            <a:rPr lang="en-US" sz="1600" b="1" baseline="0">
              <a:solidFill>
                <a:schemeClr val="accent1"/>
              </a:solidFill>
            </a:rPr>
            <a:t> : </a:t>
          </a:r>
          <a:r>
            <a:rPr lang="en-US" sz="1600" b="1">
              <a:solidFill>
                <a:schemeClr val="accent1"/>
              </a:solidFill>
            </a:rPr>
            <a:t>95</a:t>
          </a:r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4</xdr:col>
      <xdr:colOff>586740</xdr:colOff>
      <xdr:row>15</xdr:row>
      <xdr:rowOff>38100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51FA1BF-024B-4237-9722-3B35CCE38B0D}"/>
            </a:ext>
          </a:extLst>
        </xdr:cNvPr>
        <xdr:cNvSpPr/>
      </xdr:nvSpPr>
      <xdr:spPr>
        <a:xfrm>
          <a:off x="0" y="2194560"/>
          <a:ext cx="3025140" cy="58674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accent1"/>
              </a:solidFill>
            </a:rPr>
            <a:t>Underpriced</a:t>
          </a:r>
          <a:r>
            <a:rPr lang="en-US" sz="1600" b="1" baseline="0">
              <a:solidFill>
                <a:schemeClr val="accent1"/>
              </a:solidFill>
            </a:rPr>
            <a:t> : </a:t>
          </a:r>
          <a:r>
            <a:rPr lang="en-US" sz="1600" b="1">
              <a:solidFill>
                <a:schemeClr val="accent1"/>
              </a:solidFill>
            </a:rPr>
            <a:t>76</a:t>
          </a:r>
        </a:p>
      </xdr:txBody>
    </xdr:sp>
    <xdr:clientData/>
  </xdr:twoCellAnchor>
  <xdr:twoCellAnchor>
    <xdr:from>
      <xdr:col>0</xdr:col>
      <xdr:colOff>0</xdr:colOff>
      <xdr:row>5</xdr:row>
      <xdr:rowOff>137160</xdr:rowOff>
    </xdr:from>
    <xdr:to>
      <xdr:col>5</xdr:col>
      <xdr:colOff>0</xdr:colOff>
      <xdr:row>8</xdr:row>
      <xdr:rowOff>129540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2E574ED-39FF-4E3E-899F-9757A3B24DEC}"/>
            </a:ext>
          </a:extLst>
        </xdr:cNvPr>
        <xdr:cNvSpPr/>
      </xdr:nvSpPr>
      <xdr:spPr>
        <a:xfrm>
          <a:off x="0" y="1051560"/>
          <a:ext cx="3048000" cy="54102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accent1"/>
              </a:solidFill>
            </a:rPr>
            <a:t>Competetive</a:t>
          </a:r>
          <a:r>
            <a:rPr lang="en-US" sz="1600" b="1" baseline="0">
              <a:solidFill>
                <a:schemeClr val="accent1"/>
              </a:solidFill>
            </a:rPr>
            <a:t> : </a:t>
          </a:r>
          <a:r>
            <a:rPr lang="en-US" sz="1600" b="1">
              <a:solidFill>
                <a:schemeClr val="accent1"/>
              </a:solidFill>
            </a:rPr>
            <a:t>209</a:t>
          </a:r>
        </a:p>
      </xdr:txBody>
    </xdr:sp>
    <xdr:clientData/>
  </xdr:twoCellAnchor>
  <xdr:twoCellAnchor>
    <xdr:from>
      <xdr:col>12</xdr:col>
      <xdr:colOff>106680</xdr:colOff>
      <xdr:row>2</xdr:row>
      <xdr:rowOff>175260</xdr:rowOff>
    </xdr:from>
    <xdr:to>
      <xdr:col>19</xdr:col>
      <xdr:colOff>0</xdr:colOff>
      <xdr:row>15</xdr:row>
      <xdr:rowOff>38100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C2D86AE-6944-4255-8723-C542F680A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38100</xdr:rowOff>
    </xdr:from>
    <xdr:to>
      <xdr:col>9</xdr:col>
      <xdr:colOff>396240</xdr:colOff>
      <xdr:row>29</xdr:row>
      <xdr:rowOff>7619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078FE5E-FE22-46B5-813F-03325F637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13</xdr:row>
      <xdr:rowOff>137160</xdr:rowOff>
    </xdr:from>
    <xdr:to>
      <xdr:col>5</xdr:col>
      <xdr:colOff>571500</xdr:colOff>
      <xdr:row>28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AF806-67B6-4228-90A5-592423534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434340</xdr:colOff>
      <xdr:row>14</xdr:row>
      <xdr:rowOff>99060</xdr:rowOff>
    </xdr:from>
    <xdr:to>
      <xdr:col>13</xdr:col>
      <xdr:colOff>129540</xdr:colOff>
      <xdr:row>27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239AF1-1F0E-4925-9550-FB7D0BB69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152400</xdr:colOff>
      <xdr:row>13</xdr:row>
      <xdr:rowOff>68580</xdr:rowOff>
    </xdr:from>
    <xdr:to>
      <xdr:col>20</xdr:col>
      <xdr:colOff>457200</xdr:colOff>
      <xdr:row>28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2775C5-D48D-4AF1-BDA9-5A8FA5C34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137160</xdr:colOff>
      <xdr:row>1</xdr:row>
      <xdr:rowOff>45720</xdr:rowOff>
    </xdr:from>
    <xdr:to>
      <xdr:col>20</xdr:col>
      <xdr:colOff>45720</xdr:colOff>
      <xdr:row>16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E67D02-41DB-449F-A1B5-03C231F6D1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NAHAZIQA" refreshedDate="46067.461565509257" createdVersion="6" refreshedVersion="6" minRefreshableVersion="3" recordCount="380" xr:uid="{7AFD7EDA-5759-45C1-B5C5-271E4FC3E9AB}">
  <cacheSource type="worksheet">
    <worksheetSource ref="A1:L381" sheet="ecommerce_pricing_cleaned"/>
  </cacheSource>
  <cacheFields count="12">
    <cacheField name="Product_ID" numFmtId="0">
      <sharedItems containsSemiMixedTypes="0" containsString="0" containsNumber="1" containsInteger="1" minValue="1" maxValue="500"/>
    </cacheField>
    <cacheField name="Product_Name" numFmtId="0">
      <sharedItems count="20">
        <s v="Office Chair"/>
        <s v="Water Bottle"/>
        <s v="Cotton Shirt"/>
        <s v="Running Shoes"/>
        <s v="Headphones"/>
        <s v="Gaming Keyboard"/>
        <s v="Wireless Mouse"/>
        <s v="Bluetooth Speaker"/>
        <s v="Backpack"/>
        <s v="Mixer Grinder"/>
        <s v="Laptop Bag"/>
        <s v="Smart Watch"/>
        <s v="Electric Kettle"/>
        <s v="LED Bulb Pack"/>
        <s v="Wall Clock"/>
        <s v="Mobile Cover"/>
        <s v="Desk Lamp"/>
        <s v="Power Bank"/>
        <s v="Yoga Mat"/>
        <s v="Study Table"/>
      </sharedItems>
    </cacheField>
    <cacheField name="Category" numFmtId="0">
      <sharedItems count="5">
        <s v="Home"/>
        <s v="Electronics"/>
        <s v="Accessories"/>
        <s v="Fashion"/>
        <s v="Furniture"/>
      </sharedItems>
    </cacheField>
    <cacheField name="Our_Price" numFmtId="0">
      <sharedItems containsSemiMixedTypes="0" containsString="0" containsNumber="1" minValue="208" maxValue="5994"/>
    </cacheField>
    <cacheField name="Competitor_A_Price" numFmtId="0">
      <sharedItems containsSemiMixedTypes="0" containsString="0" containsNumber="1" containsInteger="1" minValue="204" maxValue="5994"/>
    </cacheField>
    <cacheField name="Competitor_B_Price" numFmtId="0">
      <sharedItems containsSemiMixedTypes="0" containsString="0" containsNumber="1" containsInteger="1" minValue="204" maxValue="5994"/>
    </cacheField>
    <cacheField name="Stock" numFmtId="0">
      <sharedItems containsSemiMixedTypes="0" containsString="0" containsNumber="1" containsInteger="1" minValue="2" maxValue="499"/>
    </cacheField>
    <cacheField name="Rating" numFmtId="165">
      <sharedItems containsSemiMixedTypes="0" containsString="0" containsNumber="1" minValue="3" maxValue="4.8"/>
    </cacheField>
    <cacheField name="Last_Updated" numFmtId="164">
      <sharedItems containsSemiMixedTypes="0" containsNonDate="0" containsDate="1" containsString="0" minDate="2024-09-01T00:00:00" maxDate="2024-12-01T00:00:00"/>
    </cacheField>
    <cacheField name="Competitor_Avg_Price" numFmtId="0">
      <sharedItems containsSemiMixedTypes="0" containsString="0" containsNumber="1" minValue="204" maxValue="5994"/>
    </cacheField>
    <cacheField name="Price_Difference" numFmtId="0">
      <sharedItems containsSemiMixedTypes="0" containsString="0" containsNumber="1" minValue="-4540" maxValue="4994"/>
    </cacheField>
    <cacheField name="Pricing_Status" numFmtId="0">
      <sharedItems count="3">
        <s v="Competitive"/>
        <s v="Overpriced"/>
        <s v="Underpric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0">
  <r>
    <n v="1"/>
    <x v="0"/>
    <x v="0"/>
    <n v="1874"/>
    <n v="1496"/>
    <n v="2252"/>
    <n v="339"/>
    <n v="3.9725388601036289"/>
    <d v="2024-11-30T00:00:00"/>
    <n v="1874"/>
    <n v="0"/>
    <x v="0"/>
  </r>
  <r>
    <n v="3"/>
    <x v="1"/>
    <x v="1"/>
    <n v="1296"/>
    <n v="319"/>
    <n v="319"/>
    <n v="273"/>
    <n v="3.9725388601036289"/>
    <d v="2024-10-26T00:00:00"/>
    <n v="319"/>
    <n v="977"/>
    <x v="1"/>
  </r>
  <r>
    <n v="4"/>
    <x v="2"/>
    <x v="2"/>
    <n v="781"/>
    <n v="4945"/>
    <n v="4945"/>
    <n v="278"/>
    <n v="3.9725388601036289"/>
    <d v="2024-10-05T00:00:00"/>
    <n v="4945"/>
    <n v="-4164"/>
    <x v="2"/>
  </r>
  <r>
    <n v="5"/>
    <x v="0"/>
    <x v="2"/>
    <n v="1725"/>
    <n v="1725"/>
    <n v="1725"/>
    <n v="445"/>
    <n v="4.2"/>
    <d v="2024-09-07T00:00:00"/>
    <n v="1725"/>
    <n v="0"/>
    <x v="0"/>
  </r>
  <r>
    <n v="6"/>
    <x v="3"/>
    <x v="0"/>
    <n v="4618.5"/>
    <n v="5644"/>
    <n v="3593"/>
    <n v="293"/>
    <n v="3.9725388601036289"/>
    <d v="2024-09-15T00:00:00"/>
    <n v="4618.5"/>
    <n v="0"/>
    <x v="0"/>
  </r>
  <r>
    <n v="7"/>
    <x v="4"/>
    <x v="0"/>
    <n v="3576"/>
    <n v="2356"/>
    <n v="2356"/>
    <n v="157"/>
    <n v="3.9725388601036289"/>
    <d v="2024-10-31T00:00:00"/>
    <n v="2356"/>
    <n v="1220"/>
    <x v="1"/>
  </r>
  <r>
    <n v="10"/>
    <x v="2"/>
    <x v="1"/>
    <n v="4667"/>
    <n v="4667"/>
    <n v="4667"/>
    <n v="140"/>
    <n v="3.5"/>
    <d v="2024-09-11T00:00:00"/>
    <n v="4667"/>
    <n v="0"/>
    <x v="0"/>
  </r>
  <r>
    <n v="11"/>
    <x v="5"/>
    <x v="1"/>
    <n v="3529"/>
    <n v="1692"/>
    <n v="1692"/>
    <n v="44"/>
    <n v="3.3"/>
    <d v="2024-09-19T00:00:00"/>
    <n v="1692"/>
    <n v="1837"/>
    <x v="1"/>
  </r>
  <r>
    <n v="12"/>
    <x v="6"/>
    <x v="3"/>
    <n v="4259"/>
    <n v="2586"/>
    <n v="2586"/>
    <n v="160"/>
    <n v="3.9725388601036289"/>
    <d v="2024-10-09T00:00:00"/>
    <n v="2586"/>
    <n v="1673"/>
    <x v="1"/>
  </r>
  <r>
    <n v="13"/>
    <x v="6"/>
    <x v="1"/>
    <n v="1302"/>
    <n v="1709"/>
    <n v="1709"/>
    <n v="153"/>
    <n v="3.5"/>
    <d v="2024-10-30T00:00:00"/>
    <n v="1709"/>
    <n v="-407"/>
    <x v="2"/>
  </r>
  <r>
    <n v="15"/>
    <x v="7"/>
    <x v="1"/>
    <n v="874"/>
    <n v="874"/>
    <n v="874"/>
    <n v="369"/>
    <n v="3.9"/>
    <d v="2024-10-30T00:00:00"/>
    <n v="874"/>
    <n v="0"/>
    <x v="0"/>
  </r>
  <r>
    <n v="16"/>
    <x v="8"/>
    <x v="2"/>
    <n v="1266"/>
    <n v="2133"/>
    <n v="2133"/>
    <n v="324"/>
    <n v="3.1"/>
    <d v="2024-09-27T00:00:00"/>
    <n v="2133"/>
    <n v="-867"/>
    <x v="2"/>
  </r>
  <r>
    <n v="17"/>
    <x v="9"/>
    <x v="3"/>
    <n v="1920"/>
    <n v="1920"/>
    <n v="1920"/>
    <n v="16"/>
    <n v="3.9725388601036289"/>
    <d v="2024-10-07T00:00:00"/>
    <n v="1920"/>
    <n v="0"/>
    <x v="0"/>
  </r>
  <r>
    <n v="18"/>
    <x v="9"/>
    <x v="3"/>
    <n v="5716"/>
    <n v="5175"/>
    <n v="5175"/>
    <n v="143"/>
    <n v="3.9725388601036289"/>
    <d v="2024-10-06T00:00:00"/>
    <n v="5175"/>
    <n v="541"/>
    <x v="1"/>
  </r>
  <r>
    <n v="19"/>
    <x v="3"/>
    <x v="1"/>
    <n v="2244"/>
    <n v="2244"/>
    <n v="2244"/>
    <n v="148"/>
    <n v="3.9725388601036289"/>
    <d v="2024-09-15T00:00:00"/>
    <n v="2244"/>
    <n v="0"/>
    <x v="0"/>
  </r>
  <r>
    <n v="20"/>
    <x v="3"/>
    <x v="2"/>
    <n v="3773"/>
    <n v="3773"/>
    <n v="3773"/>
    <n v="461"/>
    <n v="3.4"/>
    <d v="2024-09-22T00:00:00"/>
    <n v="3773"/>
    <n v="0"/>
    <x v="0"/>
  </r>
  <r>
    <n v="21"/>
    <x v="3"/>
    <x v="1"/>
    <n v="1212.5"/>
    <n v="1177"/>
    <n v="1248"/>
    <n v="284"/>
    <n v="3.9725388601036289"/>
    <d v="2024-10-25T00:00:00"/>
    <n v="1212.5"/>
    <n v="0"/>
    <x v="0"/>
  </r>
  <r>
    <n v="22"/>
    <x v="10"/>
    <x v="1"/>
    <n v="1087"/>
    <n v="1087"/>
    <n v="1087"/>
    <n v="150"/>
    <n v="4.2"/>
    <d v="2024-09-04T00:00:00"/>
    <n v="1087"/>
    <n v="0"/>
    <x v="0"/>
  </r>
  <r>
    <n v="23"/>
    <x v="7"/>
    <x v="0"/>
    <n v="715"/>
    <n v="715"/>
    <n v="715"/>
    <n v="35"/>
    <n v="4"/>
    <d v="2024-10-22T00:00:00"/>
    <n v="715"/>
    <n v="0"/>
    <x v="0"/>
  </r>
  <r>
    <n v="24"/>
    <x v="2"/>
    <x v="3"/>
    <n v="783"/>
    <n v="783"/>
    <n v="783"/>
    <n v="33"/>
    <n v="4.8"/>
    <d v="2024-09-17T00:00:00"/>
    <n v="783"/>
    <n v="0"/>
    <x v="0"/>
  </r>
  <r>
    <n v="25"/>
    <x v="11"/>
    <x v="1"/>
    <n v="2235"/>
    <n v="1575"/>
    <n v="1575"/>
    <n v="241"/>
    <n v="3.9725388601036289"/>
    <d v="2024-11-21T00:00:00"/>
    <n v="1575"/>
    <n v="660"/>
    <x v="1"/>
  </r>
  <r>
    <n v="26"/>
    <x v="7"/>
    <x v="1"/>
    <n v="4051.5"/>
    <n v="4946"/>
    <n v="3157"/>
    <n v="348"/>
    <n v="3.9725388601036289"/>
    <d v="2024-09-29T00:00:00"/>
    <n v="4051.5"/>
    <n v="0"/>
    <x v="0"/>
  </r>
  <r>
    <n v="28"/>
    <x v="12"/>
    <x v="0"/>
    <n v="3178"/>
    <n v="5604"/>
    <n v="752"/>
    <n v="390"/>
    <n v="3.9725388601036289"/>
    <d v="2024-10-12T00:00:00"/>
    <n v="3178"/>
    <n v="0"/>
    <x v="0"/>
  </r>
  <r>
    <n v="29"/>
    <x v="8"/>
    <x v="2"/>
    <n v="4825.5"/>
    <n v="3702"/>
    <n v="5949"/>
    <n v="193"/>
    <n v="3.9725388601036289"/>
    <d v="2024-10-30T00:00:00"/>
    <n v="4825.5"/>
    <n v="0"/>
    <x v="0"/>
  </r>
  <r>
    <n v="30"/>
    <x v="7"/>
    <x v="1"/>
    <n v="1480.5"/>
    <n v="372"/>
    <n v="2589"/>
    <n v="499"/>
    <n v="4"/>
    <d v="2024-09-02T00:00:00"/>
    <n v="1480.5"/>
    <n v="0"/>
    <x v="0"/>
  </r>
  <r>
    <n v="31"/>
    <x v="13"/>
    <x v="3"/>
    <n v="2706"/>
    <n v="2690"/>
    <n v="1846"/>
    <n v="201"/>
    <n v="3.3"/>
    <d v="2024-09-08T00:00:00"/>
    <n v="2268"/>
    <n v="438"/>
    <x v="1"/>
  </r>
  <r>
    <n v="32"/>
    <x v="4"/>
    <x v="2"/>
    <n v="2735"/>
    <n v="2735"/>
    <n v="2735"/>
    <n v="218"/>
    <n v="3.4"/>
    <d v="2024-10-23T00:00:00"/>
    <n v="2735"/>
    <n v="0"/>
    <x v="0"/>
  </r>
  <r>
    <n v="33"/>
    <x v="14"/>
    <x v="2"/>
    <n v="5167"/>
    <n v="5167"/>
    <n v="5167"/>
    <n v="457"/>
    <n v="3.9725388601036289"/>
    <d v="2024-09-09T00:00:00"/>
    <n v="5167"/>
    <n v="0"/>
    <x v="0"/>
  </r>
  <r>
    <n v="34"/>
    <x v="8"/>
    <x v="4"/>
    <n v="2340"/>
    <n v="983"/>
    <n v="5436"/>
    <n v="450"/>
    <n v="3.9"/>
    <d v="2024-09-14T00:00:00"/>
    <n v="3209.5"/>
    <n v="-869.5"/>
    <x v="2"/>
  </r>
  <r>
    <n v="35"/>
    <x v="14"/>
    <x v="2"/>
    <n v="2653"/>
    <n v="2653"/>
    <n v="2653"/>
    <n v="207"/>
    <n v="3.2"/>
    <d v="2024-09-16T00:00:00"/>
    <n v="2653"/>
    <n v="0"/>
    <x v="0"/>
  </r>
  <r>
    <n v="37"/>
    <x v="12"/>
    <x v="3"/>
    <n v="1789"/>
    <n v="1858"/>
    <n v="3467"/>
    <n v="430"/>
    <n v="4.7"/>
    <d v="2024-11-18T00:00:00"/>
    <n v="2662.5"/>
    <n v="-873.5"/>
    <x v="2"/>
  </r>
  <r>
    <n v="38"/>
    <x v="15"/>
    <x v="4"/>
    <n v="3215"/>
    <n v="3215"/>
    <n v="3215"/>
    <n v="341"/>
    <n v="3.9725388601036289"/>
    <d v="2024-11-11T00:00:00"/>
    <n v="3215"/>
    <n v="0"/>
    <x v="0"/>
  </r>
  <r>
    <n v="39"/>
    <x v="5"/>
    <x v="1"/>
    <n v="5263"/>
    <n v="376"/>
    <n v="376"/>
    <n v="309"/>
    <n v="3.9725388601036289"/>
    <d v="2024-11-10T00:00:00"/>
    <n v="376"/>
    <n v="4887"/>
    <x v="1"/>
  </r>
  <r>
    <n v="41"/>
    <x v="8"/>
    <x v="4"/>
    <n v="5692"/>
    <n v="5692"/>
    <n v="5692"/>
    <n v="55"/>
    <n v="4.0999999999999996"/>
    <d v="2024-09-19T00:00:00"/>
    <n v="5692"/>
    <n v="0"/>
    <x v="0"/>
  </r>
  <r>
    <n v="42"/>
    <x v="8"/>
    <x v="2"/>
    <n v="5547"/>
    <n v="5208"/>
    <n v="5208"/>
    <n v="468"/>
    <n v="3.8"/>
    <d v="2024-09-05T00:00:00"/>
    <n v="5208"/>
    <n v="339"/>
    <x v="1"/>
  </r>
  <r>
    <n v="43"/>
    <x v="16"/>
    <x v="1"/>
    <n v="5184"/>
    <n v="1429"/>
    <n v="3411"/>
    <n v="334"/>
    <n v="3.9725388601036289"/>
    <d v="2024-10-03T00:00:00"/>
    <n v="2420"/>
    <n v="2764"/>
    <x v="1"/>
  </r>
  <r>
    <n v="46"/>
    <x v="9"/>
    <x v="4"/>
    <n v="4411"/>
    <n v="4411"/>
    <n v="4411"/>
    <n v="204"/>
    <n v="4.3"/>
    <d v="2024-10-31T00:00:00"/>
    <n v="4411"/>
    <n v="0"/>
    <x v="0"/>
  </r>
  <r>
    <n v="47"/>
    <x v="9"/>
    <x v="4"/>
    <n v="4501"/>
    <n v="3191"/>
    <n v="3514"/>
    <n v="75"/>
    <n v="3.8"/>
    <d v="2024-09-12T00:00:00"/>
    <n v="3352.5"/>
    <n v="1148.5"/>
    <x v="1"/>
  </r>
  <r>
    <n v="49"/>
    <x v="9"/>
    <x v="3"/>
    <n v="5052"/>
    <n v="3544"/>
    <n v="5550"/>
    <n v="181"/>
    <n v="4.4000000000000004"/>
    <d v="2024-10-27T00:00:00"/>
    <n v="4547"/>
    <n v="505"/>
    <x v="1"/>
  </r>
  <r>
    <n v="52"/>
    <x v="4"/>
    <x v="1"/>
    <n v="3009"/>
    <n v="1476"/>
    <n v="1476"/>
    <n v="421"/>
    <n v="4"/>
    <d v="2024-11-07T00:00:00"/>
    <n v="1476"/>
    <n v="1533"/>
    <x v="1"/>
  </r>
  <r>
    <n v="54"/>
    <x v="2"/>
    <x v="3"/>
    <n v="2792"/>
    <n v="2921"/>
    <n v="2663"/>
    <n v="56"/>
    <n v="3.4"/>
    <d v="2024-10-14T00:00:00"/>
    <n v="2792"/>
    <n v="0"/>
    <x v="0"/>
  </r>
  <r>
    <n v="55"/>
    <x v="15"/>
    <x v="2"/>
    <n v="1192"/>
    <n v="1192"/>
    <n v="1192"/>
    <n v="411"/>
    <n v="3.6"/>
    <d v="2024-11-11T00:00:00"/>
    <n v="1192"/>
    <n v="0"/>
    <x v="0"/>
  </r>
  <r>
    <n v="56"/>
    <x v="0"/>
    <x v="1"/>
    <n v="1686"/>
    <n v="1721"/>
    <n v="1721"/>
    <n v="474"/>
    <n v="3.9725388601036289"/>
    <d v="2024-10-24T00:00:00"/>
    <n v="1721"/>
    <n v="-35"/>
    <x v="0"/>
  </r>
  <r>
    <n v="57"/>
    <x v="17"/>
    <x v="3"/>
    <n v="634"/>
    <n v="2460"/>
    <n v="2460"/>
    <n v="287"/>
    <n v="3.9725388601036289"/>
    <d v="2024-09-16T00:00:00"/>
    <n v="2460"/>
    <n v="-1826"/>
    <x v="2"/>
  </r>
  <r>
    <n v="58"/>
    <x v="18"/>
    <x v="2"/>
    <n v="1341"/>
    <n v="4775"/>
    <n v="4775"/>
    <n v="399"/>
    <n v="3.9725388601036289"/>
    <d v="2024-09-25T00:00:00"/>
    <n v="4775"/>
    <n v="-3434"/>
    <x v="2"/>
  </r>
  <r>
    <n v="59"/>
    <x v="13"/>
    <x v="4"/>
    <n v="3290"/>
    <n v="3290"/>
    <n v="3290"/>
    <n v="72"/>
    <n v="3.7"/>
    <d v="2024-09-26T00:00:00"/>
    <n v="3290"/>
    <n v="0"/>
    <x v="0"/>
  </r>
  <r>
    <n v="60"/>
    <x v="18"/>
    <x v="4"/>
    <n v="3742"/>
    <n v="333"/>
    <n v="333"/>
    <n v="143"/>
    <n v="3.2"/>
    <d v="2024-11-05T00:00:00"/>
    <n v="333"/>
    <n v="3409"/>
    <x v="1"/>
  </r>
  <r>
    <n v="61"/>
    <x v="19"/>
    <x v="3"/>
    <n v="2649"/>
    <n v="2649"/>
    <n v="2649"/>
    <n v="87"/>
    <n v="4"/>
    <d v="2024-10-19T00:00:00"/>
    <n v="2649"/>
    <n v="0"/>
    <x v="0"/>
  </r>
  <r>
    <n v="62"/>
    <x v="15"/>
    <x v="4"/>
    <n v="3962"/>
    <n v="2948"/>
    <n v="4976"/>
    <n v="329"/>
    <n v="4.4000000000000004"/>
    <d v="2024-10-20T00:00:00"/>
    <n v="3962"/>
    <n v="0"/>
    <x v="0"/>
  </r>
  <r>
    <n v="63"/>
    <x v="5"/>
    <x v="1"/>
    <n v="1119"/>
    <n v="678"/>
    <n v="1560"/>
    <n v="26"/>
    <n v="4.7"/>
    <d v="2024-10-13T00:00:00"/>
    <n v="1119"/>
    <n v="0"/>
    <x v="0"/>
  </r>
  <r>
    <n v="64"/>
    <x v="15"/>
    <x v="4"/>
    <n v="3312"/>
    <n v="5644"/>
    <n v="2617"/>
    <n v="261"/>
    <n v="3.1"/>
    <d v="2024-10-29T00:00:00"/>
    <n v="4130.5"/>
    <n v="-818.5"/>
    <x v="2"/>
  </r>
  <r>
    <n v="65"/>
    <x v="7"/>
    <x v="0"/>
    <n v="264"/>
    <n v="264"/>
    <n v="264"/>
    <n v="232"/>
    <n v="3.9725388601036289"/>
    <d v="2024-09-07T00:00:00"/>
    <n v="264"/>
    <n v="0"/>
    <x v="0"/>
  </r>
  <r>
    <n v="66"/>
    <x v="19"/>
    <x v="4"/>
    <n v="5730"/>
    <n v="3532"/>
    <n v="3532"/>
    <n v="364"/>
    <n v="3.9725388601036289"/>
    <d v="2024-09-07T00:00:00"/>
    <n v="3532"/>
    <n v="2198"/>
    <x v="1"/>
  </r>
  <r>
    <n v="67"/>
    <x v="2"/>
    <x v="3"/>
    <n v="1688"/>
    <n v="1688"/>
    <n v="1688"/>
    <n v="188"/>
    <n v="3.5"/>
    <d v="2024-10-22T00:00:00"/>
    <n v="1688"/>
    <n v="0"/>
    <x v="0"/>
  </r>
  <r>
    <n v="68"/>
    <x v="0"/>
    <x v="1"/>
    <n v="964"/>
    <n v="2369"/>
    <n v="2369"/>
    <n v="196"/>
    <n v="3.9725388601036289"/>
    <d v="2024-10-12T00:00:00"/>
    <n v="2369"/>
    <n v="-1405"/>
    <x v="2"/>
  </r>
  <r>
    <n v="69"/>
    <x v="13"/>
    <x v="4"/>
    <n v="1855"/>
    <n v="1855"/>
    <n v="1855"/>
    <n v="118"/>
    <n v="3.9725388601036289"/>
    <d v="2024-11-19T00:00:00"/>
    <n v="1855"/>
    <n v="0"/>
    <x v="0"/>
  </r>
  <r>
    <n v="70"/>
    <x v="16"/>
    <x v="0"/>
    <n v="5189"/>
    <n v="5642"/>
    <n v="5642"/>
    <n v="207"/>
    <n v="3.9725388601036289"/>
    <d v="2024-11-01T00:00:00"/>
    <n v="5642"/>
    <n v="-453"/>
    <x v="2"/>
  </r>
  <r>
    <n v="72"/>
    <x v="16"/>
    <x v="4"/>
    <n v="235"/>
    <n v="235"/>
    <n v="235"/>
    <n v="2"/>
    <n v="3.9725388601036289"/>
    <d v="2024-09-18T00:00:00"/>
    <n v="235"/>
    <n v="0"/>
    <x v="0"/>
  </r>
  <r>
    <n v="73"/>
    <x v="11"/>
    <x v="2"/>
    <n v="4009"/>
    <n v="2237"/>
    <n v="2237"/>
    <n v="132"/>
    <n v="3.9725388601036289"/>
    <d v="2024-11-05T00:00:00"/>
    <n v="2237"/>
    <n v="1772"/>
    <x v="1"/>
  </r>
  <r>
    <n v="74"/>
    <x v="6"/>
    <x v="0"/>
    <n v="5761"/>
    <n v="5940"/>
    <n v="5582"/>
    <n v="20"/>
    <n v="4.0999999999999996"/>
    <d v="2024-10-03T00:00:00"/>
    <n v="5761"/>
    <n v="0"/>
    <x v="0"/>
  </r>
  <r>
    <n v="75"/>
    <x v="7"/>
    <x v="4"/>
    <n v="1338"/>
    <n v="5878"/>
    <n v="5878"/>
    <n v="276"/>
    <n v="3.8"/>
    <d v="2024-11-24T00:00:00"/>
    <n v="5878"/>
    <n v="-4540"/>
    <x v="2"/>
  </r>
  <r>
    <n v="77"/>
    <x v="18"/>
    <x v="4"/>
    <n v="4689"/>
    <n v="4689"/>
    <n v="4689"/>
    <n v="138"/>
    <n v="3.9725388601036289"/>
    <d v="2024-11-25T00:00:00"/>
    <n v="4689"/>
    <n v="0"/>
    <x v="0"/>
  </r>
  <r>
    <n v="78"/>
    <x v="3"/>
    <x v="1"/>
    <n v="3284"/>
    <n v="2490"/>
    <n v="2490"/>
    <n v="320"/>
    <n v="4.2"/>
    <d v="2024-09-02T00:00:00"/>
    <n v="2490"/>
    <n v="794"/>
    <x v="1"/>
  </r>
  <r>
    <n v="79"/>
    <x v="7"/>
    <x v="0"/>
    <n v="1567"/>
    <n v="1567"/>
    <n v="1567"/>
    <n v="447"/>
    <n v="4.2"/>
    <d v="2024-11-12T00:00:00"/>
    <n v="1567"/>
    <n v="0"/>
    <x v="0"/>
  </r>
  <r>
    <n v="80"/>
    <x v="1"/>
    <x v="4"/>
    <n v="1866"/>
    <n v="1866"/>
    <n v="1866"/>
    <n v="388"/>
    <n v="3.9725388601036289"/>
    <d v="2024-09-28T00:00:00"/>
    <n v="1866"/>
    <n v="0"/>
    <x v="0"/>
  </r>
  <r>
    <n v="82"/>
    <x v="10"/>
    <x v="0"/>
    <n v="5612"/>
    <n v="5612"/>
    <n v="5612"/>
    <n v="299"/>
    <n v="4.2"/>
    <d v="2024-09-28T00:00:00"/>
    <n v="5612"/>
    <n v="0"/>
    <x v="0"/>
  </r>
  <r>
    <n v="84"/>
    <x v="10"/>
    <x v="4"/>
    <n v="3331"/>
    <n v="3331"/>
    <n v="3331"/>
    <n v="95"/>
    <n v="3.9725388601036289"/>
    <d v="2024-11-17T00:00:00"/>
    <n v="3331"/>
    <n v="0"/>
    <x v="0"/>
  </r>
  <r>
    <n v="85"/>
    <x v="8"/>
    <x v="4"/>
    <n v="3201"/>
    <n v="2007"/>
    <n v="4395"/>
    <n v="63"/>
    <n v="3.5"/>
    <d v="2024-10-01T00:00:00"/>
    <n v="3201"/>
    <n v="0"/>
    <x v="0"/>
  </r>
  <r>
    <n v="86"/>
    <x v="19"/>
    <x v="0"/>
    <n v="4754"/>
    <n v="4754"/>
    <n v="4754"/>
    <n v="105"/>
    <n v="3.9725388601036289"/>
    <d v="2024-10-21T00:00:00"/>
    <n v="4754"/>
    <n v="0"/>
    <x v="0"/>
  </r>
  <r>
    <n v="87"/>
    <x v="8"/>
    <x v="3"/>
    <n v="2064"/>
    <n v="3394"/>
    <n v="3394"/>
    <n v="225"/>
    <n v="3.4"/>
    <d v="2024-10-29T00:00:00"/>
    <n v="3394"/>
    <n v="-1330"/>
    <x v="2"/>
  </r>
  <r>
    <n v="88"/>
    <x v="7"/>
    <x v="3"/>
    <n v="5968"/>
    <n v="4687"/>
    <n v="4687"/>
    <n v="195"/>
    <n v="3.9725388601036289"/>
    <d v="2024-09-18T00:00:00"/>
    <n v="4687"/>
    <n v="1281"/>
    <x v="1"/>
  </r>
  <r>
    <n v="90"/>
    <x v="2"/>
    <x v="1"/>
    <n v="2032"/>
    <n v="5931"/>
    <n v="5931"/>
    <n v="408"/>
    <n v="3"/>
    <d v="2024-11-14T00:00:00"/>
    <n v="5931"/>
    <n v="-3899"/>
    <x v="2"/>
  </r>
  <r>
    <n v="91"/>
    <x v="13"/>
    <x v="4"/>
    <n v="2479"/>
    <n v="2479"/>
    <n v="2479"/>
    <n v="321"/>
    <n v="4.8"/>
    <d v="2024-09-12T00:00:00"/>
    <n v="2479"/>
    <n v="0"/>
    <x v="0"/>
  </r>
  <r>
    <n v="92"/>
    <x v="7"/>
    <x v="3"/>
    <n v="2459"/>
    <n v="2459"/>
    <n v="2459"/>
    <n v="215"/>
    <n v="3.9725388601036289"/>
    <d v="2024-10-12T00:00:00"/>
    <n v="2459"/>
    <n v="0"/>
    <x v="0"/>
  </r>
  <r>
    <n v="93"/>
    <x v="15"/>
    <x v="3"/>
    <n v="1341"/>
    <n v="3598"/>
    <n v="3598"/>
    <n v="349"/>
    <n v="4.4000000000000004"/>
    <d v="2024-11-04T00:00:00"/>
    <n v="3598"/>
    <n v="-2257"/>
    <x v="2"/>
  </r>
  <r>
    <n v="94"/>
    <x v="5"/>
    <x v="2"/>
    <n v="511"/>
    <n v="511"/>
    <n v="511"/>
    <n v="398"/>
    <n v="3.9725388601036289"/>
    <d v="2024-11-01T00:00:00"/>
    <n v="511"/>
    <n v="0"/>
    <x v="0"/>
  </r>
  <r>
    <n v="95"/>
    <x v="14"/>
    <x v="1"/>
    <n v="5072"/>
    <n v="939"/>
    <n v="939"/>
    <n v="308"/>
    <n v="4.4000000000000004"/>
    <d v="2024-09-05T00:00:00"/>
    <n v="939"/>
    <n v="4133"/>
    <x v="1"/>
  </r>
  <r>
    <n v="96"/>
    <x v="11"/>
    <x v="4"/>
    <n v="5949"/>
    <n v="5949"/>
    <n v="5949"/>
    <n v="53"/>
    <n v="3.9725388601036289"/>
    <d v="2024-11-22T00:00:00"/>
    <n v="5949"/>
    <n v="0"/>
    <x v="0"/>
  </r>
  <r>
    <n v="97"/>
    <x v="0"/>
    <x v="4"/>
    <n v="4345"/>
    <n v="4345"/>
    <n v="4345"/>
    <n v="306"/>
    <n v="3.9725388601036289"/>
    <d v="2024-09-19T00:00:00"/>
    <n v="4345"/>
    <n v="0"/>
    <x v="0"/>
  </r>
  <r>
    <n v="99"/>
    <x v="14"/>
    <x v="3"/>
    <n v="4290"/>
    <n v="5274"/>
    <n v="5274"/>
    <n v="211"/>
    <n v="3.9725388601036289"/>
    <d v="2024-09-10T00:00:00"/>
    <n v="5274"/>
    <n v="-984"/>
    <x v="2"/>
  </r>
  <r>
    <n v="100"/>
    <x v="8"/>
    <x v="1"/>
    <n v="2629.5"/>
    <n v="1552"/>
    <n v="3707"/>
    <n v="229"/>
    <n v="4.0999999999999996"/>
    <d v="2024-10-18T00:00:00"/>
    <n v="2629.5"/>
    <n v="0"/>
    <x v="0"/>
  </r>
  <r>
    <n v="102"/>
    <x v="3"/>
    <x v="0"/>
    <n v="1910"/>
    <n v="1634"/>
    <n v="2186"/>
    <n v="304"/>
    <n v="3.9725388601036289"/>
    <d v="2024-10-13T00:00:00"/>
    <n v="1910"/>
    <n v="0"/>
    <x v="0"/>
  </r>
  <r>
    <n v="104"/>
    <x v="7"/>
    <x v="4"/>
    <n v="1653"/>
    <n v="1653"/>
    <n v="1653"/>
    <n v="182"/>
    <n v="3.9725388601036289"/>
    <d v="2024-09-16T00:00:00"/>
    <n v="1653"/>
    <n v="0"/>
    <x v="0"/>
  </r>
  <r>
    <n v="106"/>
    <x v="11"/>
    <x v="0"/>
    <n v="2376"/>
    <n v="2376"/>
    <n v="2376"/>
    <n v="454"/>
    <n v="3.9725388601036289"/>
    <d v="2024-11-21T00:00:00"/>
    <n v="2376"/>
    <n v="0"/>
    <x v="0"/>
  </r>
  <r>
    <n v="109"/>
    <x v="0"/>
    <x v="0"/>
    <n v="4443"/>
    <n v="4443"/>
    <n v="4443"/>
    <n v="168"/>
    <n v="3.9725388601036289"/>
    <d v="2024-09-27T00:00:00"/>
    <n v="4443"/>
    <n v="0"/>
    <x v="0"/>
  </r>
  <r>
    <n v="110"/>
    <x v="1"/>
    <x v="2"/>
    <n v="1803"/>
    <n v="485"/>
    <n v="5549"/>
    <n v="10"/>
    <n v="3.7"/>
    <d v="2024-10-30T00:00:00"/>
    <n v="3017"/>
    <n v="-1214"/>
    <x v="2"/>
  </r>
  <r>
    <n v="111"/>
    <x v="5"/>
    <x v="2"/>
    <n v="4888"/>
    <n v="204"/>
    <n v="204"/>
    <n v="7"/>
    <n v="3.9725388601036289"/>
    <d v="2024-11-07T00:00:00"/>
    <n v="204"/>
    <n v="4684"/>
    <x v="1"/>
  </r>
  <r>
    <n v="114"/>
    <x v="4"/>
    <x v="1"/>
    <n v="1124"/>
    <n v="3369"/>
    <n v="3369"/>
    <n v="229"/>
    <n v="3.9725388601036289"/>
    <d v="2024-09-29T00:00:00"/>
    <n v="3369"/>
    <n v="-2245"/>
    <x v="2"/>
  </r>
  <r>
    <n v="117"/>
    <x v="1"/>
    <x v="4"/>
    <n v="4361"/>
    <n v="4355"/>
    <n v="4355"/>
    <n v="295"/>
    <n v="3.9725388601036289"/>
    <d v="2024-10-23T00:00:00"/>
    <n v="4355"/>
    <n v="6"/>
    <x v="0"/>
  </r>
  <r>
    <n v="118"/>
    <x v="14"/>
    <x v="1"/>
    <n v="4462"/>
    <n v="2334"/>
    <n v="2334"/>
    <n v="122"/>
    <n v="4"/>
    <d v="2024-09-29T00:00:00"/>
    <n v="2334"/>
    <n v="2128"/>
    <x v="1"/>
  </r>
  <r>
    <n v="119"/>
    <x v="7"/>
    <x v="3"/>
    <n v="5877"/>
    <n v="5877"/>
    <n v="5877"/>
    <n v="2"/>
    <n v="3.9"/>
    <d v="2024-11-18T00:00:00"/>
    <n v="5877"/>
    <n v="0"/>
    <x v="0"/>
  </r>
  <r>
    <n v="120"/>
    <x v="15"/>
    <x v="4"/>
    <n v="1367"/>
    <n v="1367"/>
    <n v="1367"/>
    <n v="49"/>
    <n v="3.3"/>
    <d v="2024-11-27T00:00:00"/>
    <n v="1367"/>
    <n v="0"/>
    <x v="0"/>
  </r>
  <r>
    <n v="121"/>
    <x v="19"/>
    <x v="4"/>
    <n v="5513"/>
    <n v="5513"/>
    <n v="5513"/>
    <n v="222"/>
    <n v="3.9725388601036289"/>
    <d v="2024-09-09T00:00:00"/>
    <n v="5513"/>
    <n v="0"/>
    <x v="0"/>
  </r>
  <r>
    <n v="123"/>
    <x v="14"/>
    <x v="3"/>
    <n v="3071"/>
    <n v="1848"/>
    <n v="4294"/>
    <n v="419"/>
    <n v="3.9725388601036289"/>
    <d v="2024-10-23T00:00:00"/>
    <n v="3071"/>
    <n v="0"/>
    <x v="0"/>
  </r>
  <r>
    <n v="124"/>
    <x v="5"/>
    <x v="0"/>
    <n v="5817"/>
    <n v="2659"/>
    <n v="5658"/>
    <n v="445"/>
    <n v="4.5999999999999996"/>
    <d v="2024-10-20T00:00:00"/>
    <n v="4158.5"/>
    <n v="1658.5"/>
    <x v="1"/>
  </r>
  <r>
    <n v="125"/>
    <x v="14"/>
    <x v="2"/>
    <n v="4741"/>
    <n v="5017"/>
    <n v="2844"/>
    <n v="189"/>
    <n v="3.9725388601036289"/>
    <d v="2024-10-26T00:00:00"/>
    <n v="3930.5"/>
    <n v="810.5"/>
    <x v="1"/>
  </r>
  <r>
    <n v="127"/>
    <x v="15"/>
    <x v="3"/>
    <n v="3079.5"/>
    <n v="3306"/>
    <n v="2853"/>
    <n v="293"/>
    <n v="4.5"/>
    <d v="2024-11-22T00:00:00"/>
    <n v="3079.5"/>
    <n v="0"/>
    <x v="0"/>
  </r>
  <r>
    <n v="128"/>
    <x v="8"/>
    <x v="4"/>
    <n v="2667"/>
    <n v="2667"/>
    <n v="2667"/>
    <n v="189"/>
    <n v="4"/>
    <d v="2024-10-22T00:00:00"/>
    <n v="2667"/>
    <n v="0"/>
    <x v="0"/>
  </r>
  <r>
    <n v="129"/>
    <x v="18"/>
    <x v="0"/>
    <n v="3919"/>
    <n v="1386"/>
    <n v="1386"/>
    <n v="210"/>
    <n v="3.9725388601036289"/>
    <d v="2024-10-14T00:00:00"/>
    <n v="1386"/>
    <n v="2533"/>
    <x v="1"/>
  </r>
  <r>
    <n v="132"/>
    <x v="14"/>
    <x v="4"/>
    <n v="2742"/>
    <n v="5509"/>
    <n v="3167"/>
    <n v="350"/>
    <n v="4.5"/>
    <d v="2024-11-27T00:00:00"/>
    <n v="4338"/>
    <n v="-1596"/>
    <x v="2"/>
  </r>
  <r>
    <n v="133"/>
    <x v="8"/>
    <x v="3"/>
    <n v="2981.5"/>
    <n v="2464"/>
    <n v="3499"/>
    <n v="190"/>
    <n v="3.9725388601036289"/>
    <d v="2024-10-12T00:00:00"/>
    <n v="2981.5"/>
    <n v="0"/>
    <x v="0"/>
  </r>
  <r>
    <n v="134"/>
    <x v="13"/>
    <x v="1"/>
    <n v="2657.5"/>
    <n v="2628"/>
    <n v="2687"/>
    <n v="419"/>
    <n v="3.9725388601036289"/>
    <d v="2024-09-07T00:00:00"/>
    <n v="2657.5"/>
    <n v="0"/>
    <x v="0"/>
  </r>
  <r>
    <n v="136"/>
    <x v="16"/>
    <x v="4"/>
    <n v="436"/>
    <n v="3335"/>
    <n v="3335"/>
    <n v="448"/>
    <n v="4.5999999999999996"/>
    <d v="2024-09-05T00:00:00"/>
    <n v="3335"/>
    <n v="-2899"/>
    <x v="2"/>
  </r>
  <r>
    <n v="138"/>
    <x v="13"/>
    <x v="2"/>
    <n v="1958"/>
    <n v="3809"/>
    <n v="1584"/>
    <n v="239"/>
    <n v="3.9725388601036289"/>
    <d v="2024-10-29T00:00:00"/>
    <n v="2696.5"/>
    <n v="-738.5"/>
    <x v="2"/>
  </r>
  <r>
    <n v="139"/>
    <x v="11"/>
    <x v="1"/>
    <n v="5994"/>
    <n v="5994"/>
    <n v="5994"/>
    <n v="419"/>
    <n v="3.7"/>
    <d v="2024-10-02T00:00:00"/>
    <n v="5994"/>
    <n v="0"/>
    <x v="0"/>
  </r>
  <r>
    <n v="140"/>
    <x v="7"/>
    <x v="4"/>
    <n v="5436"/>
    <n v="5436"/>
    <n v="5436"/>
    <n v="126"/>
    <n v="4.0999999999999996"/>
    <d v="2024-11-04T00:00:00"/>
    <n v="5436"/>
    <n v="0"/>
    <x v="0"/>
  </r>
  <r>
    <n v="141"/>
    <x v="17"/>
    <x v="2"/>
    <n v="3115"/>
    <n v="3115"/>
    <n v="3115"/>
    <n v="124"/>
    <n v="3.9725388601036289"/>
    <d v="2024-11-29T00:00:00"/>
    <n v="3115"/>
    <n v="0"/>
    <x v="0"/>
  </r>
  <r>
    <n v="143"/>
    <x v="14"/>
    <x v="0"/>
    <n v="600"/>
    <n v="600"/>
    <n v="600"/>
    <n v="85"/>
    <n v="3.9725388601036289"/>
    <d v="2024-09-13T00:00:00"/>
    <n v="600"/>
    <n v="0"/>
    <x v="0"/>
  </r>
  <r>
    <n v="144"/>
    <x v="2"/>
    <x v="4"/>
    <n v="3575"/>
    <n v="3575"/>
    <n v="3575"/>
    <n v="71"/>
    <n v="4.2"/>
    <d v="2024-10-09T00:00:00"/>
    <n v="3575"/>
    <n v="0"/>
    <x v="0"/>
  </r>
  <r>
    <n v="145"/>
    <x v="14"/>
    <x v="4"/>
    <n v="3361.5"/>
    <n v="1104"/>
    <n v="5619"/>
    <n v="115"/>
    <n v="3.9725388601036289"/>
    <d v="2024-10-13T00:00:00"/>
    <n v="3361.5"/>
    <n v="0"/>
    <x v="0"/>
  </r>
  <r>
    <n v="146"/>
    <x v="1"/>
    <x v="1"/>
    <n v="596"/>
    <n v="596"/>
    <n v="596"/>
    <n v="249"/>
    <n v="4.0999999999999996"/>
    <d v="2024-09-24T00:00:00"/>
    <n v="596"/>
    <n v="0"/>
    <x v="0"/>
  </r>
  <r>
    <n v="147"/>
    <x v="6"/>
    <x v="1"/>
    <n v="987"/>
    <n v="987"/>
    <n v="987"/>
    <n v="383"/>
    <n v="3.7"/>
    <d v="2024-09-18T00:00:00"/>
    <n v="987"/>
    <n v="0"/>
    <x v="0"/>
  </r>
  <r>
    <n v="148"/>
    <x v="12"/>
    <x v="1"/>
    <n v="3359"/>
    <n v="3359"/>
    <n v="3359"/>
    <n v="114"/>
    <n v="3.8"/>
    <d v="2024-09-06T00:00:00"/>
    <n v="3359"/>
    <n v="0"/>
    <x v="0"/>
  </r>
  <r>
    <n v="149"/>
    <x v="16"/>
    <x v="3"/>
    <n v="2867"/>
    <n v="5694"/>
    <n v="1519"/>
    <n v="44"/>
    <n v="4.5"/>
    <d v="2024-11-30T00:00:00"/>
    <n v="3606.5"/>
    <n v="-739.5"/>
    <x v="2"/>
  </r>
  <r>
    <n v="150"/>
    <x v="19"/>
    <x v="3"/>
    <n v="4801"/>
    <n v="2339"/>
    <n v="337"/>
    <n v="5"/>
    <n v="3.9725388601036289"/>
    <d v="2024-10-29T00:00:00"/>
    <n v="1338"/>
    <n v="3463"/>
    <x v="1"/>
  </r>
  <r>
    <n v="151"/>
    <x v="6"/>
    <x v="0"/>
    <n v="1476"/>
    <n v="2669"/>
    <n v="2574"/>
    <n v="416"/>
    <n v="4.7"/>
    <d v="2024-11-26T00:00:00"/>
    <n v="2621.5"/>
    <n v="-1145.5"/>
    <x v="2"/>
  </r>
  <r>
    <n v="152"/>
    <x v="17"/>
    <x v="4"/>
    <n v="1455"/>
    <n v="5569"/>
    <n v="349"/>
    <n v="289"/>
    <n v="3.9"/>
    <d v="2024-11-15T00:00:00"/>
    <n v="2959"/>
    <n v="-1504"/>
    <x v="2"/>
  </r>
  <r>
    <n v="153"/>
    <x v="15"/>
    <x v="2"/>
    <n v="3080"/>
    <n v="3080"/>
    <n v="3080"/>
    <n v="80"/>
    <n v="3.8"/>
    <d v="2024-11-08T00:00:00"/>
    <n v="3080"/>
    <n v="0"/>
    <x v="0"/>
  </r>
  <r>
    <n v="154"/>
    <x v="10"/>
    <x v="1"/>
    <n v="3611"/>
    <n v="1954"/>
    <n v="5268"/>
    <n v="455"/>
    <n v="3.9725388601036289"/>
    <d v="2024-11-23T00:00:00"/>
    <n v="3611"/>
    <n v="0"/>
    <x v="0"/>
  </r>
  <r>
    <n v="155"/>
    <x v="8"/>
    <x v="2"/>
    <n v="4877"/>
    <n v="3955"/>
    <n v="5799"/>
    <n v="196"/>
    <n v="4"/>
    <d v="2024-09-16T00:00:00"/>
    <n v="4877"/>
    <n v="0"/>
    <x v="0"/>
  </r>
  <r>
    <n v="156"/>
    <x v="15"/>
    <x v="0"/>
    <n v="4900"/>
    <n v="4476"/>
    <n v="4476"/>
    <n v="141"/>
    <n v="4.8"/>
    <d v="2024-09-10T00:00:00"/>
    <n v="4476"/>
    <n v="424"/>
    <x v="1"/>
  </r>
  <r>
    <n v="157"/>
    <x v="19"/>
    <x v="2"/>
    <n v="329"/>
    <n v="5332"/>
    <n v="2380"/>
    <n v="395"/>
    <n v="3.9725388601036289"/>
    <d v="2024-11-10T00:00:00"/>
    <n v="3856"/>
    <n v="-3527"/>
    <x v="2"/>
  </r>
  <r>
    <n v="158"/>
    <x v="17"/>
    <x v="0"/>
    <n v="3550"/>
    <n v="3550"/>
    <n v="3550"/>
    <n v="201"/>
    <n v="3.9725388601036289"/>
    <d v="2024-10-28T00:00:00"/>
    <n v="3550"/>
    <n v="0"/>
    <x v="0"/>
  </r>
  <r>
    <n v="159"/>
    <x v="19"/>
    <x v="3"/>
    <n v="628.5"/>
    <n v="315"/>
    <n v="942"/>
    <n v="396"/>
    <n v="3.1"/>
    <d v="2024-10-25T00:00:00"/>
    <n v="628.5"/>
    <n v="0"/>
    <x v="0"/>
  </r>
  <r>
    <n v="160"/>
    <x v="1"/>
    <x v="0"/>
    <n v="4985"/>
    <n v="4985"/>
    <n v="4985"/>
    <n v="298"/>
    <n v="3.9725388601036289"/>
    <d v="2024-10-13T00:00:00"/>
    <n v="4985"/>
    <n v="0"/>
    <x v="0"/>
  </r>
  <r>
    <n v="161"/>
    <x v="7"/>
    <x v="1"/>
    <n v="4775"/>
    <n v="4775"/>
    <n v="4775"/>
    <n v="384"/>
    <n v="3.9725388601036289"/>
    <d v="2024-11-11T00:00:00"/>
    <n v="4775"/>
    <n v="0"/>
    <x v="0"/>
  </r>
  <r>
    <n v="162"/>
    <x v="11"/>
    <x v="1"/>
    <n v="1497"/>
    <n v="2756"/>
    <n v="2756"/>
    <n v="129"/>
    <n v="3.9725388601036289"/>
    <d v="2024-11-07T00:00:00"/>
    <n v="2756"/>
    <n v="-1259"/>
    <x v="2"/>
  </r>
  <r>
    <n v="163"/>
    <x v="19"/>
    <x v="0"/>
    <n v="989"/>
    <n v="3232"/>
    <n v="3232"/>
    <n v="324"/>
    <n v="3.9725388601036289"/>
    <d v="2024-10-18T00:00:00"/>
    <n v="3232"/>
    <n v="-2243"/>
    <x v="2"/>
  </r>
  <r>
    <n v="164"/>
    <x v="1"/>
    <x v="2"/>
    <n v="774"/>
    <n v="873"/>
    <n v="3445"/>
    <n v="436"/>
    <n v="3.9725388601036289"/>
    <d v="2024-11-23T00:00:00"/>
    <n v="2159"/>
    <n v="-1385"/>
    <x v="2"/>
  </r>
  <r>
    <n v="165"/>
    <x v="4"/>
    <x v="4"/>
    <n v="2086"/>
    <n v="2086"/>
    <n v="2086"/>
    <n v="465"/>
    <n v="3.9725388601036289"/>
    <d v="2024-09-19T00:00:00"/>
    <n v="2086"/>
    <n v="0"/>
    <x v="0"/>
  </r>
  <r>
    <n v="166"/>
    <x v="18"/>
    <x v="1"/>
    <n v="4968"/>
    <n v="4968"/>
    <n v="4968"/>
    <n v="336"/>
    <n v="4.7"/>
    <d v="2024-09-16T00:00:00"/>
    <n v="4968"/>
    <n v="0"/>
    <x v="0"/>
  </r>
  <r>
    <n v="172"/>
    <x v="13"/>
    <x v="1"/>
    <n v="1060"/>
    <n v="338"/>
    <n v="338"/>
    <n v="159"/>
    <n v="3.9725388601036289"/>
    <d v="2024-11-06T00:00:00"/>
    <n v="338"/>
    <n v="722"/>
    <x v="1"/>
  </r>
  <r>
    <n v="173"/>
    <x v="18"/>
    <x v="1"/>
    <n v="4684"/>
    <n v="4684"/>
    <n v="4684"/>
    <n v="14"/>
    <n v="3.9725388601036289"/>
    <d v="2024-11-16T00:00:00"/>
    <n v="4684"/>
    <n v="0"/>
    <x v="0"/>
  </r>
  <r>
    <n v="174"/>
    <x v="4"/>
    <x v="2"/>
    <n v="3412"/>
    <n v="3412"/>
    <n v="3412"/>
    <n v="145"/>
    <n v="3.9725388601036289"/>
    <d v="2024-11-19T00:00:00"/>
    <n v="3412"/>
    <n v="0"/>
    <x v="0"/>
  </r>
  <r>
    <n v="175"/>
    <x v="2"/>
    <x v="2"/>
    <n v="2600"/>
    <n v="2600"/>
    <n v="2600"/>
    <n v="231"/>
    <n v="3.6"/>
    <d v="2024-10-24T00:00:00"/>
    <n v="2600"/>
    <n v="0"/>
    <x v="0"/>
  </r>
  <r>
    <n v="176"/>
    <x v="13"/>
    <x v="3"/>
    <n v="4683"/>
    <n v="4625"/>
    <n v="5216"/>
    <n v="126"/>
    <n v="3.9725388601036289"/>
    <d v="2024-10-27T00:00:00"/>
    <n v="4920.5"/>
    <n v="-237.5"/>
    <x v="2"/>
  </r>
  <r>
    <n v="177"/>
    <x v="13"/>
    <x v="4"/>
    <n v="2478"/>
    <n v="2478"/>
    <n v="2478"/>
    <n v="475"/>
    <n v="3.3"/>
    <d v="2024-11-22T00:00:00"/>
    <n v="2478"/>
    <n v="0"/>
    <x v="0"/>
  </r>
  <r>
    <n v="178"/>
    <x v="1"/>
    <x v="4"/>
    <n v="5325"/>
    <n v="5271"/>
    <n v="5379"/>
    <n v="365"/>
    <n v="3.9725388601036289"/>
    <d v="2024-09-30T00:00:00"/>
    <n v="5325"/>
    <n v="0"/>
    <x v="0"/>
  </r>
  <r>
    <n v="181"/>
    <x v="16"/>
    <x v="0"/>
    <n v="4523"/>
    <n v="3574"/>
    <n v="3574"/>
    <n v="411"/>
    <n v="3.7"/>
    <d v="2024-10-30T00:00:00"/>
    <n v="3574"/>
    <n v="949"/>
    <x v="1"/>
  </r>
  <r>
    <n v="182"/>
    <x v="10"/>
    <x v="3"/>
    <n v="4035"/>
    <n v="4035"/>
    <n v="4035"/>
    <n v="162"/>
    <n v="3.7"/>
    <d v="2024-09-28T00:00:00"/>
    <n v="4035"/>
    <n v="0"/>
    <x v="0"/>
  </r>
  <r>
    <n v="183"/>
    <x v="0"/>
    <x v="1"/>
    <n v="1590"/>
    <n v="5484"/>
    <n v="3657"/>
    <n v="146"/>
    <n v="3.9725388601036289"/>
    <d v="2024-11-17T00:00:00"/>
    <n v="4570.5"/>
    <n v="-2980.5"/>
    <x v="2"/>
  </r>
  <r>
    <n v="185"/>
    <x v="12"/>
    <x v="4"/>
    <n v="2872"/>
    <n v="2991"/>
    <n v="2991"/>
    <n v="378"/>
    <n v="3.9725388601036289"/>
    <d v="2024-09-04T00:00:00"/>
    <n v="2991"/>
    <n v="-119"/>
    <x v="2"/>
  </r>
  <r>
    <n v="186"/>
    <x v="17"/>
    <x v="4"/>
    <n v="1993"/>
    <n v="5972"/>
    <n v="5972"/>
    <n v="204"/>
    <n v="3.9725388601036289"/>
    <d v="2024-09-12T00:00:00"/>
    <n v="5972"/>
    <n v="-3979"/>
    <x v="2"/>
  </r>
  <r>
    <n v="187"/>
    <x v="19"/>
    <x v="0"/>
    <n v="5013"/>
    <n v="1347"/>
    <n v="4172"/>
    <n v="313"/>
    <n v="3.6"/>
    <d v="2024-10-24T00:00:00"/>
    <n v="2759.5"/>
    <n v="2253.5"/>
    <x v="1"/>
  </r>
  <r>
    <n v="188"/>
    <x v="9"/>
    <x v="4"/>
    <n v="1732"/>
    <n v="1511"/>
    <n v="407"/>
    <n v="96"/>
    <n v="3.9725388601036289"/>
    <d v="2024-10-14T00:00:00"/>
    <n v="959"/>
    <n v="773"/>
    <x v="1"/>
  </r>
  <r>
    <n v="189"/>
    <x v="4"/>
    <x v="0"/>
    <n v="4139"/>
    <n v="1085"/>
    <n v="1085"/>
    <n v="16"/>
    <n v="3.9725388601036289"/>
    <d v="2024-11-23T00:00:00"/>
    <n v="1085"/>
    <n v="3054"/>
    <x v="1"/>
  </r>
  <r>
    <n v="190"/>
    <x v="13"/>
    <x v="3"/>
    <n v="5634"/>
    <n v="5634"/>
    <n v="5634"/>
    <n v="162"/>
    <n v="3.9725388601036289"/>
    <d v="2024-11-15T00:00:00"/>
    <n v="5634"/>
    <n v="0"/>
    <x v="0"/>
  </r>
  <r>
    <n v="191"/>
    <x v="12"/>
    <x v="4"/>
    <n v="4404"/>
    <n v="5110"/>
    <n v="4057"/>
    <n v="225"/>
    <n v="4"/>
    <d v="2024-11-28T00:00:00"/>
    <n v="4583.5"/>
    <n v="-179.5"/>
    <x v="2"/>
  </r>
  <r>
    <n v="194"/>
    <x v="1"/>
    <x v="2"/>
    <n v="3129"/>
    <n v="1385"/>
    <n v="1385"/>
    <n v="84"/>
    <n v="3.9725388601036289"/>
    <d v="2024-09-16T00:00:00"/>
    <n v="1385"/>
    <n v="1744"/>
    <x v="1"/>
  </r>
  <r>
    <n v="195"/>
    <x v="13"/>
    <x v="2"/>
    <n v="5371"/>
    <n v="5371"/>
    <n v="5371"/>
    <n v="173"/>
    <n v="3.9725388601036289"/>
    <d v="2024-11-01T00:00:00"/>
    <n v="5371"/>
    <n v="0"/>
    <x v="0"/>
  </r>
  <r>
    <n v="196"/>
    <x v="13"/>
    <x v="1"/>
    <n v="4473"/>
    <n v="4383"/>
    <n v="4383"/>
    <n v="425"/>
    <n v="3.9725388601036289"/>
    <d v="2024-11-05T00:00:00"/>
    <n v="4383"/>
    <n v="90"/>
    <x v="0"/>
  </r>
  <r>
    <n v="197"/>
    <x v="1"/>
    <x v="0"/>
    <n v="4040"/>
    <n v="4040"/>
    <n v="4040"/>
    <n v="35"/>
    <n v="3.3"/>
    <d v="2024-11-22T00:00:00"/>
    <n v="4040"/>
    <n v="0"/>
    <x v="0"/>
  </r>
  <r>
    <n v="198"/>
    <x v="3"/>
    <x v="2"/>
    <n v="3352"/>
    <n v="1587"/>
    <n v="5117"/>
    <n v="487"/>
    <n v="3.3"/>
    <d v="2024-10-09T00:00:00"/>
    <n v="3352"/>
    <n v="0"/>
    <x v="0"/>
  </r>
  <r>
    <n v="199"/>
    <x v="18"/>
    <x v="3"/>
    <n v="3578"/>
    <n v="3259"/>
    <n v="3259"/>
    <n v="418"/>
    <n v="3.9725388601036289"/>
    <d v="2024-11-10T00:00:00"/>
    <n v="3259"/>
    <n v="319"/>
    <x v="1"/>
  </r>
  <r>
    <n v="200"/>
    <x v="3"/>
    <x v="3"/>
    <n v="4211.5"/>
    <n v="3820"/>
    <n v="4603"/>
    <n v="40"/>
    <n v="3.9725388601036289"/>
    <d v="2024-11-20T00:00:00"/>
    <n v="4211.5"/>
    <n v="0"/>
    <x v="0"/>
  </r>
  <r>
    <n v="201"/>
    <x v="4"/>
    <x v="1"/>
    <n v="1589"/>
    <n v="1225"/>
    <n v="1225"/>
    <n v="288"/>
    <n v="3.9725388601036289"/>
    <d v="2024-11-17T00:00:00"/>
    <n v="1225"/>
    <n v="364"/>
    <x v="1"/>
  </r>
  <r>
    <n v="202"/>
    <x v="5"/>
    <x v="0"/>
    <n v="3942"/>
    <n v="1969"/>
    <n v="5915"/>
    <n v="83"/>
    <n v="4.4000000000000004"/>
    <d v="2024-11-08T00:00:00"/>
    <n v="3942"/>
    <n v="0"/>
    <x v="0"/>
  </r>
  <r>
    <n v="203"/>
    <x v="16"/>
    <x v="3"/>
    <n v="4530"/>
    <n v="3405"/>
    <n v="3405"/>
    <n v="349"/>
    <n v="3.8"/>
    <d v="2024-10-07T00:00:00"/>
    <n v="3405"/>
    <n v="1125"/>
    <x v="1"/>
  </r>
  <r>
    <n v="204"/>
    <x v="15"/>
    <x v="2"/>
    <n v="3649.5"/>
    <n v="3554"/>
    <n v="3745"/>
    <n v="280"/>
    <n v="3.9725388601036289"/>
    <d v="2024-11-08T00:00:00"/>
    <n v="3649.5"/>
    <n v="0"/>
    <x v="0"/>
  </r>
  <r>
    <n v="205"/>
    <x v="11"/>
    <x v="1"/>
    <n v="4734"/>
    <n v="4734"/>
    <n v="4734"/>
    <n v="404"/>
    <n v="4"/>
    <d v="2024-10-25T00:00:00"/>
    <n v="4734"/>
    <n v="0"/>
    <x v="0"/>
  </r>
  <r>
    <n v="206"/>
    <x v="3"/>
    <x v="0"/>
    <n v="4951"/>
    <n v="4951"/>
    <n v="4951"/>
    <n v="285"/>
    <n v="3.7"/>
    <d v="2024-09-24T00:00:00"/>
    <n v="4951"/>
    <n v="0"/>
    <x v="0"/>
  </r>
  <r>
    <n v="207"/>
    <x v="15"/>
    <x v="1"/>
    <n v="2296"/>
    <n v="2608"/>
    <n v="2608"/>
    <n v="455"/>
    <n v="3.9725388601036289"/>
    <d v="2024-09-30T00:00:00"/>
    <n v="2608"/>
    <n v="-312"/>
    <x v="2"/>
  </r>
  <r>
    <n v="208"/>
    <x v="10"/>
    <x v="3"/>
    <n v="5994"/>
    <n v="1831"/>
    <n v="5274"/>
    <n v="331"/>
    <n v="3.7"/>
    <d v="2024-10-23T00:00:00"/>
    <n v="3552.5"/>
    <n v="2441.5"/>
    <x v="1"/>
  </r>
  <r>
    <n v="209"/>
    <x v="3"/>
    <x v="3"/>
    <n v="5192"/>
    <n v="5569"/>
    <n v="4815"/>
    <n v="115"/>
    <n v="3.9725388601036289"/>
    <d v="2024-10-28T00:00:00"/>
    <n v="5192"/>
    <n v="0"/>
    <x v="0"/>
  </r>
  <r>
    <n v="210"/>
    <x v="14"/>
    <x v="4"/>
    <n v="5989"/>
    <n v="5493"/>
    <n v="873"/>
    <n v="468"/>
    <n v="3.9725388601036289"/>
    <d v="2024-11-03T00:00:00"/>
    <n v="3183"/>
    <n v="2806"/>
    <x v="1"/>
  </r>
  <r>
    <n v="211"/>
    <x v="2"/>
    <x v="1"/>
    <n v="305"/>
    <n v="912"/>
    <n v="912"/>
    <n v="178"/>
    <n v="3.9725388601036289"/>
    <d v="2024-10-21T00:00:00"/>
    <n v="912"/>
    <n v="-607"/>
    <x v="2"/>
  </r>
  <r>
    <n v="212"/>
    <x v="16"/>
    <x v="0"/>
    <n v="2675"/>
    <n v="265"/>
    <n v="265"/>
    <n v="299"/>
    <n v="3.9725388601036289"/>
    <d v="2024-10-29T00:00:00"/>
    <n v="265"/>
    <n v="2410"/>
    <x v="1"/>
  </r>
  <r>
    <n v="213"/>
    <x v="1"/>
    <x v="4"/>
    <n v="5023"/>
    <n v="286"/>
    <n v="286"/>
    <n v="438"/>
    <n v="4.3"/>
    <d v="2024-10-02T00:00:00"/>
    <n v="286"/>
    <n v="4737"/>
    <x v="1"/>
  </r>
  <r>
    <n v="215"/>
    <x v="2"/>
    <x v="0"/>
    <n v="5066"/>
    <n v="4579"/>
    <n v="5036"/>
    <n v="242"/>
    <n v="3.9725388601036289"/>
    <d v="2024-11-05T00:00:00"/>
    <n v="4807.5"/>
    <n v="258.5"/>
    <x v="1"/>
  </r>
  <r>
    <n v="217"/>
    <x v="1"/>
    <x v="1"/>
    <n v="3919"/>
    <n v="4239"/>
    <n v="911"/>
    <n v="429"/>
    <n v="3.9725388601036289"/>
    <d v="2024-10-17T00:00:00"/>
    <n v="2575"/>
    <n v="1344"/>
    <x v="1"/>
  </r>
  <r>
    <n v="218"/>
    <x v="1"/>
    <x v="1"/>
    <n v="4292"/>
    <n v="531"/>
    <n v="531"/>
    <n v="372"/>
    <n v="3.9725388601036289"/>
    <d v="2024-09-01T00:00:00"/>
    <n v="531"/>
    <n v="3761"/>
    <x v="1"/>
  </r>
  <r>
    <n v="219"/>
    <x v="13"/>
    <x v="1"/>
    <n v="3764"/>
    <n v="3764"/>
    <n v="3764"/>
    <n v="403"/>
    <n v="3.9725388601036289"/>
    <d v="2024-11-18T00:00:00"/>
    <n v="3764"/>
    <n v="0"/>
    <x v="0"/>
  </r>
  <r>
    <n v="220"/>
    <x v="11"/>
    <x v="3"/>
    <n v="3257"/>
    <n v="1620"/>
    <n v="3890"/>
    <n v="497"/>
    <n v="3.6"/>
    <d v="2024-10-11T00:00:00"/>
    <n v="2755"/>
    <n v="502"/>
    <x v="1"/>
  </r>
  <r>
    <n v="222"/>
    <x v="17"/>
    <x v="1"/>
    <n v="3810"/>
    <n v="3810"/>
    <n v="3810"/>
    <n v="424"/>
    <n v="4.0999999999999996"/>
    <d v="2024-10-05T00:00:00"/>
    <n v="3810"/>
    <n v="0"/>
    <x v="0"/>
  </r>
  <r>
    <n v="225"/>
    <x v="9"/>
    <x v="3"/>
    <n v="3566"/>
    <n v="1430"/>
    <n v="1430"/>
    <n v="26"/>
    <n v="3.9725388601036289"/>
    <d v="2024-11-15T00:00:00"/>
    <n v="1430"/>
    <n v="2136"/>
    <x v="1"/>
  </r>
  <r>
    <n v="227"/>
    <x v="16"/>
    <x v="2"/>
    <n v="5251"/>
    <n v="5289"/>
    <n v="5289"/>
    <n v="372"/>
    <n v="3.6"/>
    <d v="2024-11-07T00:00:00"/>
    <n v="5289"/>
    <n v="-38"/>
    <x v="0"/>
  </r>
  <r>
    <n v="228"/>
    <x v="17"/>
    <x v="1"/>
    <n v="1773"/>
    <n v="360"/>
    <n v="3186"/>
    <n v="412"/>
    <n v="4.5999999999999996"/>
    <d v="2024-10-18T00:00:00"/>
    <n v="1773"/>
    <n v="0"/>
    <x v="0"/>
  </r>
  <r>
    <n v="229"/>
    <x v="0"/>
    <x v="4"/>
    <n v="5789"/>
    <n v="5789"/>
    <n v="5789"/>
    <n v="294"/>
    <n v="3.8"/>
    <d v="2024-10-11T00:00:00"/>
    <n v="5789"/>
    <n v="0"/>
    <x v="0"/>
  </r>
  <r>
    <n v="230"/>
    <x v="16"/>
    <x v="2"/>
    <n v="1910"/>
    <n v="921"/>
    <n v="2899"/>
    <n v="310"/>
    <n v="3.8"/>
    <d v="2024-11-07T00:00:00"/>
    <n v="1910"/>
    <n v="0"/>
    <x v="0"/>
  </r>
  <r>
    <n v="231"/>
    <x v="1"/>
    <x v="1"/>
    <n v="3853"/>
    <n v="3853"/>
    <n v="3853"/>
    <n v="231"/>
    <n v="4.5"/>
    <d v="2024-11-21T00:00:00"/>
    <n v="3853"/>
    <n v="0"/>
    <x v="0"/>
  </r>
  <r>
    <n v="232"/>
    <x v="17"/>
    <x v="4"/>
    <n v="602"/>
    <n v="602"/>
    <n v="602"/>
    <n v="34"/>
    <n v="3.9725388601036289"/>
    <d v="2024-11-15T00:00:00"/>
    <n v="602"/>
    <n v="0"/>
    <x v="0"/>
  </r>
  <r>
    <n v="233"/>
    <x v="0"/>
    <x v="3"/>
    <n v="1487"/>
    <n v="1272"/>
    <n v="1272"/>
    <n v="495"/>
    <n v="3.9725388601036289"/>
    <d v="2024-09-18T00:00:00"/>
    <n v="1272"/>
    <n v="215"/>
    <x v="1"/>
  </r>
  <r>
    <n v="234"/>
    <x v="9"/>
    <x v="4"/>
    <n v="3486"/>
    <n v="3486"/>
    <n v="3486"/>
    <n v="347"/>
    <n v="3.9"/>
    <d v="2024-11-09T00:00:00"/>
    <n v="3486"/>
    <n v="0"/>
    <x v="0"/>
  </r>
  <r>
    <n v="235"/>
    <x v="4"/>
    <x v="2"/>
    <n v="2885"/>
    <n v="2951"/>
    <n v="2363"/>
    <n v="359"/>
    <n v="3.2"/>
    <d v="2024-11-24T00:00:00"/>
    <n v="2657"/>
    <n v="228"/>
    <x v="1"/>
  </r>
  <r>
    <n v="237"/>
    <x v="12"/>
    <x v="2"/>
    <n v="1838"/>
    <n v="1838"/>
    <n v="1838"/>
    <n v="87"/>
    <n v="3"/>
    <d v="2024-10-25T00:00:00"/>
    <n v="1838"/>
    <n v="0"/>
    <x v="0"/>
  </r>
  <r>
    <n v="238"/>
    <x v="11"/>
    <x v="4"/>
    <n v="2557"/>
    <n v="3950"/>
    <n v="1164"/>
    <n v="254"/>
    <n v="4.7"/>
    <d v="2024-09-05T00:00:00"/>
    <n v="2557"/>
    <n v="0"/>
    <x v="0"/>
  </r>
  <r>
    <n v="240"/>
    <x v="16"/>
    <x v="2"/>
    <n v="5451"/>
    <n v="4588"/>
    <n v="1293"/>
    <n v="359"/>
    <n v="3.9725388601036289"/>
    <d v="2024-10-25T00:00:00"/>
    <n v="2940.5"/>
    <n v="2510.5"/>
    <x v="1"/>
  </r>
  <r>
    <n v="242"/>
    <x v="5"/>
    <x v="3"/>
    <n v="3809"/>
    <n v="2444"/>
    <n v="2444"/>
    <n v="463"/>
    <n v="4.0999999999999996"/>
    <d v="2024-09-09T00:00:00"/>
    <n v="2444"/>
    <n v="1365"/>
    <x v="1"/>
  </r>
  <r>
    <n v="243"/>
    <x v="1"/>
    <x v="3"/>
    <n v="2746"/>
    <n v="2746"/>
    <n v="2746"/>
    <n v="93"/>
    <n v="3.9725388601036289"/>
    <d v="2024-09-15T00:00:00"/>
    <n v="2746"/>
    <n v="0"/>
    <x v="0"/>
  </r>
  <r>
    <n v="244"/>
    <x v="8"/>
    <x v="4"/>
    <n v="5908"/>
    <n v="5908"/>
    <n v="5908"/>
    <n v="125"/>
    <n v="3.9725388601036289"/>
    <d v="2024-09-20T00:00:00"/>
    <n v="5908"/>
    <n v="0"/>
    <x v="0"/>
  </r>
  <r>
    <n v="246"/>
    <x v="13"/>
    <x v="1"/>
    <n v="5173"/>
    <n v="5173"/>
    <n v="5173"/>
    <n v="344"/>
    <n v="3.2"/>
    <d v="2024-11-06T00:00:00"/>
    <n v="5173"/>
    <n v="0"/>
    <x v="0"/>
  </r>
  <r>
    <n v="247"/>
    <x v="18"/>
    <x v="1"/>
    <n v="5293"/>
    <n v="5293"/>
    <n v="5293"/>
    <n v="484"/>
    <n v="3.9725388601036289"/>
    <d v="2024-09-22T00:00:00"/>
    <n v="5293"/>
    <n v="0"/>
    <x v="0"/>
  </r>
  <r>
    <n v="248"/>
    <x v="11"/>
    <x v="1"/>
    <n v="614"/>
    <n v="614"/>
    <n v="614"/>
    <n v="222"/>
    <n v="3.9"/>
    <d v="2024-10-31T00:00:00"/>
    <n v="614"/>
    <n v="0"/>
    <x v="0"/>
  </r>
  <r>
    <n v="249"/>
    <x v="2"/>
    <x v="0"/>
    <n v="1539"/>
    <n v="1722"/>
    <n v="1722"/>
    <n v="285"/>
    <n v="3.9725388601036289"/>
    <d v="2024-09-17T00:00:00"/>
    <n v="1722"/>
    <n v="-183"/>
    <x v="2"/>
  </r>
  <r>
    <n v="250"/>
    <x v="11"/>
    <x v="1"/>
    <n v="4856"/>
    <n v="3748"/>
    <n v="3748"/>
    <n v="74"/>
    <n v="3.1"/>
    <d v="2024-11-21T00:00:00"/>
    <n v="3748"/>
    <n v="1108"/>
    <x v="1"/>
  </r>
  <r>
    <n v="251"/>
    <x v="3"/>
    <x v="4"/>
    <n v="3334"/>
    <n v="2421"/>
    <n v="4247"/>
    <n v="76"/>
    <n v="4.5"/>
    <d v="2024-10-20T00:00:00"/>
    <n v="3334"/>
    <n v="0"/>
    <x v="0"/>
  </r>
  <r>
    <n v="253"/>
    <x v="6"/>
    <x v="1"/>
    <n v="1107"/>
    <n v="1107"/>
    <n v="1107"/>
    <n v="92"/>
    <n v="3.9725388601036289"/>
    <d v="2024-09-08T00:00:00"/>
    <n v="1107"/>
    <n v="0"/>
    <x v="0"/>
  </r>
  <r>
    <n v="254"/>
    <x v="13"/>
    <x v="4"/>
    <n v="5246"/>
    <n v="1714"/>
    <n v="1714"/>
    <n v="150"/>
    <n v="4.3"/>
    <d v="2024-10-19T00:00:00"/>
    <n v="1714"/>
    <n v="3532"/>
    <x v="1"/>
  </r>
  <r>
    <n v="255"/>
    <x v="1"/>
    <x v="1"/>
    <n v="4541.5"/>
    <n v="3875"/>
    <n v="5208"/>
    <n v="128"/>
    <n v="3.9725388601036289"/>
    <d v="2024-10-19T00:00:00"/>
    <n v="4541.5"/>
    <n v="0"/>
    <x v="0"/>
  </r>
  <r>
    <n v="256"/>
    <x v="19"/>
    <x v="2"/>
    <n v="1689"/>
    <n v="1689"/>
    <n v="1689"/>
    <n v="155"/>
    <n v="3.9725388601036289"/>
    <d v="2024-09-22T00:00:00"/>
    <n v="1689"/>
    <n v="0"/>
    <x v="0"/>
  </r>
  <r>
    <n v="257"/>
    <x v="15"/>
    <x v="0"/>
    <n v="4689"/>
    <n v="1846"/>
    <n v="1846"/>
    <n v="172"/>
    <n v="3.9725388601036289"/>
    <d v="2024-09-11T00:00:00"/>
    <n v="1846"/>
    <n v="2843"/>
    <x v="1"/>
  </r>
  <r>
    <n v="258"/>
    <x v="6"/>
    <x v="1"/>
    <n v="2473"/>
    <n v="5988"/>
    <n v="5988"/>
    <n v="153"/>
    <n v="3.9725388601036289"/>
    <d v="2024-09-08T00:00:00"/>
    <n v="5988"/>
    <n v="-3515"/>
    <x v="2"/>
  </r>
  <r>
    <n v="259"/>
    <x v="11"/>
    <x v="3"/>
    <n v="2224"/>
    <n v="5211"/>
    <n v="5211"/>
    <n v="137"/>
    <n v="4.5999999999999996"/>
    <d v="2024-11-30T00:00:00"/>
    <n v="5211"/>
    <n v="-2987"/>
    <x v="2"/>
  </r>
  <r>
    <n v="260"/>
    <x v="8"/>
    <x v="2"/>
    <n v="4361.5"/>
    <n v="4509"/>
    <n v="4214"/>
    <n v="410"/>
    <n v="3.9725388601036289"/>
    <d v="2024-11-08T00:00:00"/>
    <n v="4361.5"/>
    <n v="0"/>
    <x v="0"/>
  </r>
  <r>
    <n v="264"/>
    <x v="1"/>
    <x v="1"/>
    <n v="5230"/>
    <n v="5230"/>
    <n v="5230"/>
    <n v="495"/>
    <n v="4"/>
    <d v="2024-09-18T00:00:00"/>
    <n v="5230"/>
    <n v="0"/>
    <x v="0"/>
  </r>
  <r>
    <n v="265"/>
    <x v="15"/>
    <x v="3"/>
    <n v="2392"/>
    <n v="2392"/>
    <n v="2392"/>
    <n v="111"/>
    <n v="3.9725388601036289"/>
    <d v="2024-11-10T00:00:00"/>
    <n v="2392"/>
    <n v="0"/>
    <x v="0"/>
  </r>
  <r>
    <n v="268"/>
    <x v="13"/>
    <x v="4"/>
    <n v="4974"/>
    <n v="4953"/>
    <n v="4995"/>
    <n v="52"/>
    <n v="3.9725388601036289"/>
    <d v="2024-10-01T00:00:00"/>
    <n v="4974"/>
    <n v="0"/>
    <x v="0"/>
  </r>
  <r>
    <n v="269"/>
    <x v="16"/>
    <x v="3"/>
    <n v="5819"/>
    <n v="5819"/>
    <n v="5819"/>
    <n v="421"/>
    <n v="4.3"/>
    <d v="2024-11-18T00:00:00"/>
    <n v="5819"/>
    <n v="0"/>
    <x v="0"/>
  </r>
  <r>
    <n v="272"/>
    <x v="17"/>
    <x v="3"/>
    <n v="4122"/>
    <n v="4122"/>
    <n v="4122"/>
    <n v="481"/>
    <n v="3.9725388601036289"/>
    <d v="2024-10-04T00:00:00"/>
    <n v="4122"/>
    <n v="0"/>
    <x v="0"/>
  </r>
  <r>
    <n v="274"/>
    <x v="8"/>
    <x v="0"/>
    <n v="1022"/>
    <n v="3284"/>
    <n v="2192"/>
    <n v="148"/>
    <n v="3.9725388601036289"/>
    <d v="2024-11-25T00:00:00"/>
    <n v="2738"/>
    <n v="-1716"/>
    <x v="2"/>
  </r>
  <r>
    <n v="275"/>
    <x v="0"/>
    <x v="3"/>
    <n v="3511.5"/>
    <n v="2514"/>
    <n v="4509"/>
    <n v="40"/>
    <n v="3.9725388601036289"/>
    <d v="2024-11-01T00:00:00"/>
    <n v="3511.5"/>
    <n v="0"/>
    <x v="0"/>
  </r>
  <r>
    <n v="277"/>
    <x v="8"/>
    <x v="2"/>
    <n v="5239"/>
    <n v="2824"/>
    <n v="2824"/>
    <n v="489"/>
    <n v="3.5"/>
    <d v="2024-11-11T00:00:00"/>
    <n v="2824"/>
    <n v="2415"/>
    <x v="1"/>
  </r>
  <r>
    <n v="279"/>
    <x v="19"/>
    <x v="0"/>
    <n v="224"/>
    <n v="224"/>
    <n v="224"/>
    <n v="171"/>
    <n v="3.9725388601036289"/>
    <d v="2024-11-12T00:00:00"/>
    <n v="224"/>
    <n v="0"/>
    <x v="0"/>
  </r>
  <r>
    <n v="281"/>
    <x v="16"/>
    <x v="2"/>
    <n v="1986"/>
    <n v="4720"/>
    <n v="4309"/>
    <n v="135"/>
    <n v="3.9725388601036289"/>
    <d v="2024-09-12T00:00:00"/>
    <n v="4514.5"/>
    <n v="-2528.5"/>
    <x v="2"/>
  </r>
  <r>
    <n v="283"/>
    <x v="5"/>
    <x v="2"/>
    <n v="3534"/>
    <n v="3534"/>
    <n v="3534"/>
    <n v="293"/>
    <n v="4.2"/>
    <d v="2024-10-20T00:00:00"/>
    <n v="3534"/>
    <n v="0"/>
    <x v="0"/>
  </r>
  <r>
    <n v="286"/>
    <x v="9"/>
    <x v="2"/>
    <n v="2387"/>
    <n v="636"/>
    <n v="636"/>
    <n v="195"/>
    <n v="3.5"/>
    <d v="2024-09-08T00:00:00"/>
    <n v="636"/>
    <n v="1751"/>
    <x v="1"/>
  </r>
  <r>
    <n v="288"/>
    <x v="11"/>
    <x v="0"/>
    <n v="3531.5"/>
    <n v="5701"/>
    <n v="1362"/>
    <n v="27"/>
    <n v="3.9725388601036289"/>
    <d v="2024-10-27T00:00:00"/>
    <n v="3531.5"/>
    <n v="0"/>
    <x v="0"/>
  </r>
  <r>
    <n v="289"/>
    <x v="19"/>
    <x v="4"/>
    <n v="5418"/>
    <n v="5868"/>
    <n v="4968"/>
    <n v="177"/>
    <n v="3.9725388601036289"/>
    <d v="2024-09-29T00:00:00"/>
    <n v="5418"/>
    <n v="0"/>
    <x v="0"/>
  </r>
  <r>
    <n v="290"/>
    <x v="3"/>
    <x v="3"/>
    <n v="2748"/>
    <n v="3246"/>
    <n v="903"/>
    <n v="78"/>
    <n v="3.4"/>
    <d v="2024-10-11T00:00:00"/>
    <n v="2074.5"/>
    <n v="673.5"/>
    <x v="1"/>
  </r>
  <r>
    <n v="291"/>
    <x v="2"/>
    <x v="0"/>
    <n v="4932"/>
    <n v="1564"/>
    <n v="4521"/>
    <n v="432"/>
    <n v="3.7"/>
    <d v="2024-11-26T00:00:00"/>
    <n v="3042.5"/>
    <n v="1889.5"/>
    <x v="1"/>
  </r>
  <r>
    <n v="292"/>
    <x v="19"/>
    <x v="0"/>
    <n v="329"/>
    <n v="402"/>
    <n v="402"/>
    <n v="306"/>
    <n v="4.3"/>
    <d v="2024-10-21T00:00:00"/>
    <n v="402"/>
    <n v="-73"/>
    <x v="0"/>
  </r>
  <r>
    <n v="293"/>
    <x v="4"/>
    <x v="0"/>
    <n v="4894"/>
    <n v="3434"/>
    <n v="3434"/>
    <n v="48"/>
    <n v="4.5"/>
    <d v="2024-09-21T00:00:00"/>
    <n v="3434"/>
    <n v="1460"/>
    <x v="1"/>
  </r>
  <r>
    <n v="295"/>
    <x v="13"/>
    <x v="4"/>
    <n v="5969"/>
    <n v="5969"/>
    <n v="5969"/>
    <n v="115"/>
    <n v="4.5999999999999996"/>
    <d v="2024-11-19T00:00:00"/>
    <n v="5969"/>
    <n v="0"/>
    <x v="0"/>
  </r>
  <r>
    <n v="297"/>
    <x v="10"/>
    <x v="3"/>
    <n v="2323"/>
    <n v="5459"/>
    <n v="790"/>
    <n v="217"/>
    <n v="3.9725388601036289"/>
    <d v="2024-11-20T00:00:00"/>
    <n v="3124.5"/>
    <n v="-801.5"/>
    <x v="2"/>
  </r>
  <r>
    <n v="298"/>
    <x v="10"/>
    <x v="4"/>
    <n v="5720"/>
    <n v="5284"/>
    <n v="5284"/>
    <n v="215"/>
    <n v="3.9725388601036289"/>
    <d v="2024-09-04T00:00:00"/>
    <n v="5284"/>
    <n v="436"/>
    <x v="1"/>
  </r>
  <r>
    <n v="300"/>
    <x v="16"/>
    <x v="1"/>
    <n v="3255"/>
    <n v="991"/>
    <n v="5519"/>
    <n v="195"/>
    <n v="4.8"/>
    <d v="2024-11-05T00:00:00"/>
    <n v="3255"/>
    <n v="0"/>
    <x v="0"/>
  </r>
  <r>
    <n v="301"/>
    <x v="13"/>
    <x v="4"/>
    <n v="2243"/>
    <n v="2243"/>
    <n v="2243"/>
    <n v="225"/>
    <n v="3.9725388601036289"/>
    <d v="2024-10-01T00:00:00"/>
    <n v="2243"/>
    <n v="0"/>
    <x v="0"/>
  </r>
  <r>
    <n v="302"/>
    <x v="1"/>
    <x v="2"/>
    <n v="5547"/>
    <n v="5547"/>
    <n v="5547"/>
    <n v="392"/>
    <n v="3.9"/>
    <d v="2024-10-30T00:00:00"/>
    <n v="5547"/>
    <n v="0"/>
    <x v="0"/>
  </r>
  <r>
    <n v="303"/>
    <x v="5"/>
    <x v="2"/>
    <n v="1101"/>
    <n v="2150"/>
    <n v="2150"/>
    <n v="23"/>
    <n v="4.5"/>
    <d v="2024-09-11T00:00:00"/>
    <n v="2150"/>
    <n v="-1049"/>
    <x v="2"/>
  </r>
  <r>
    <n v="304"/>
    <x v="10"/>
    <x v="1"/>
    <n v="4508"/>
    <n v="3514"/>
    <n v="5463"/>
    <n v="299"/>
    <n v="4.2"/>
    <d v="2024-10-01T00:00:00"/>
    <n v="4488.5"/>
    <n v="19.5"/>
    <x v="0"/>
  </r>
  <r>
    <n v="306"/>
    <x v="10"/>
    <x v="0"/>
    <n v="1333"/>
    <n v="5768"/>
    <n v="5304"/>
    <n v="146"/>
    <n v="4.7"/>
    <d v="2024-09-13T00:00:00"/>
    <n v="5536"/>
    <n v="-4203"/>
    <x v="2"/>
  </r>
  <r>
    <n v="308"/>
    <x v="13"/>
    <x v="1"/>
    <n v="3240"/>
    <n v="2223"/>
    <n v="4257"/>
    <n v="139"/>
    <n v="4.4000000000000004"/>
    <d v="2024-10-03T00:00:00"/>
    <n v="3240"/>
    <n v="0"/>
    <x v="0"/>
  </r>
  <r>
    <n v="310"/>
    <x v="11"/>
    <x v="3"/>
    <n v="2005"/>
    <n v="2005"/>
    <n v="2005"/>
    <n v="477"/>
    <n v="4.7"/>
    <d v="2024-09-25T00:00:00"/>
    <n v="2005"/>
    <n v="0"/>
    <x v="0"/>
  </r>
  <r>
    <n v="311"/>
    <x v="0"/>
    <x v="0"/>
    <n v="5040"/>
    <n v="5054"/>
    <n v="3503"/>
    <n v="85"/>
    <n v="3.9725388601036289"/>
    <d v="2024-09-07T00:00:00"/>
    <n v="4278.5"/>
    <n v="761.5"/>
    <x v="1"/>
  </r>
  <r>
    <n v="314"/>
    <x v="11"/>
    <x v="2"/>
    <n v="3059"/>
    <n v="4308"/>
    <n v="4308"/>
    <n v="139"/>
    <n v="4.3"/>
    <d v="2024-11-11T00:00:00"/>
    <n v="4308"/>
    <n v="-1249"/>
    <x v="2"/>
  </r>
  <r>
    <n v="315"/>
    <x v="15"/>
    <x v="0"/>
    <n v="5352"/>
    <n v="4741"/>
    <n v="4741"/>
    <n v="343"/>
    <n v="4.0999999999999996"/>
    <d v="2024-11-18T00:00:00"/>
    <n v="4741"/>
    <n v="611"/>
    <x v="1"/>
  </r>
  <r>
    <n v="316"/>
    <x v="19"/>
    <x v="1"/>
    <n v="1031"/>
    <n v="2449"/>
    <n v="2449"/>
    <n v="187"/>
    <n v="3.5"/>
    <d v="2024-09-03T00:00:00"/>
    <n v="2449"/>
    <n v="-1418"/>
    <x v="2"/>
  </r>
  <r>
    <n v="319"/>
    <x v="3"/>
    <x v="2"/>
    <n v="4804"/>
    <n v="4804"/>
    <n v="4804"/>
    <n v="236"/>
    <n v="3.1"/>
    <d v="2024-11-24T00:00:00"/>
    <n v="4804"/>
    <n v="0"/>
    <x v="0"/>
  </r>
  <r>
    <n v="320"/>
    <x v="18"/>
    <x v="3"/>
    <n v="5794"/>
    <n v="3380"/>
    <n v="3380"/>
    <n v="209"/>
    <n v="3.9725388601036289"/>
    <d v="2024-09-26T00:00:00"/>
    <n v="3380"/>
    <n v="2414"/>
    <x v="1"/>
  </r>
  <r>
    <n v="322"/>
    <x v="12"/>
    <x v="1"/>
    <n v="1670"/>
    <n v="1670"/>
    <n v="1670"/>
    <n v="282"/>
    <n v="3.7"/>
    <d v="2024-11-13T00:00:00"/>
    <n v="1670"/>
    <n v="0"/>
    <x v="0"/>
  </r>
  <r>
    <n v="323"/>
    <x v="9"/>
    <x v="1"/>
    <n v="4834"/>
    <n v="4834"/>
    <n v="4834"/>
    <n v="53"/>
    <n v="4.5999999999999996"/>
    <d v="2024-10-17T00:00:00"/>
    <n v="4834"/>
    <n v="0"/>
    <x v="0"/>
  </r>
  <r>
    <n v="324"/>
    <x v="10"/>
    <x v="2"/>
    <n v="3267"/>
    <n v="3267"/>
    <n v="3267"/>
    <n v="306"/>
    <n v="4.5999999999999996"/>
    <d v="2024-10-27T00:00:00"/>
    <n v="3267"/>
    <n v="0"/>
    <x v="0"/>
  </r>
  <r>
    <n v="325"/>
    <x v="19"/>
    <x v="1"/>
    <n v="5542"/>
    <n v="5542"/>
    <n v="5542"/>
    <n v="368"/>
    <n v="4.0999999999999996"/>
    <d v="2024-09-21T00:00:00"/>
    <n v="5542"/>
    <n v="0"/>
    <x v="0"/>
  </r>
  <r>
    <n v="326"/>
    <x v="9"/>
    <x v="3"/>
    <n v="2875"/>
    <n v="2875"/>
    <n v="2875"/>
    <n v="159"/>
    <n v="3.9725388601036289"/>
    <d v="2024-11-05T00:00:00"/>
    <n v="2875"/>
    <n v="0"/>
    <x v="0"/>
  </r>
  <r>
    <n v="327"/>
    <x v="0"/>
    <x v="1"/>
    <n v="3986"/>
    <n v="5537"/>
    <n v="5537"/>
    <n v="118"/>
    <n v="4.3"/>
    <d v="2024-10-11T00:00:00"/>
    <n v="5537"/>
    <n v="-1551"/>
    <x v="2"/>
  </r>
  <r>
    <n v="329"/>
    <x v="7"/>
    <x v="0"/>
    <n v="4329"/>
    <n v="860"/>
    <n v="860"/>
    <n v="101"/>
    <n v="4.7"/>
    <d v="2024-10-05T00:00:00"/>
    <n v="860"/>
    <n v="3469"/>
    <x v="1"/>
  </r>
  <r>
    <n v="330"/>
    <x v="5"/>
    <x v="3"/>
    <n v="1199"/>
    <n v="1199"/>
    <n v="1199"/>
    <n v="210"/>
    <n v="3.9725388601036289"/>
    <d v="2024-11-28T00:00:00"/>
    <n v="1199"/>
    <n v="0"/>
    <x v="0"/>
  </r>
  <r>
    <n v="332"/>
    <x v="5"/>
    <x v="4"/>
    <n v="2094"/>
    <n v="2094"/>
    <n v="2094"/>
    <n v="154"/>
    <n v="3.9725388601036289"/>
    <d v="2024-09-21T00:00:00"/>
    <n v="2094"/>
    <n v="0"/>
    <x v="0"/>
  </r>
  <r>
    <n v="333"/>
    <x v="6"/>
    <x v="3"/>
    <n v="4043"/>
    <n v="3064"/>
    <n v="5022"/>
    <n v="451"/>
    <n v="3.9725388601036289"/>
    <d v="2024-09-06T00:00:00"/>
    <n v="4043"/>
    <n v="0"/>
    <x v="0"/>
  </r>
  <r>
    <n v="334"/>
    <x v="2"/>
    <x v="3"/>
    <n v="698"/>
    <n v="698"/>
    <n v="698"/>
    <n v="422"/>
    <n v="3.9725388601036289"/>
    <d v="2024-11-15T00:00:00"/>
    <n v="698"/>
    <n v="0"/>
    <x v="0"/>
  </r>
  <r>
    <n v="335"/>
    <x v="14"/>
    <x v="0"/>
    <n v="864"/>
    <n v="864"/>
    <n v="864"/>
    <n v="385"/>
    <n v="3.9725388601036289"/>
    <d v="2024-11-03T00:00:00"/>
    <n v="864"/>
    <n v="0"/>
    <x v="0"/>
  </r>
  <r>
    <n v="336"/>
    <x v="14"/>
    <x v="1"/>
    <n v="3028"/>
    <n v="3028"/>
    <n v="3028"/>
    <n v="407"/>
    <n v="3.9725388601036289"/>
    <d v="2024-09-22T00:00:00"/>
    <n v="3028"/>
    <n v="0"/>
    <x v="0"/>
  </r>
  <r>
    <n v="337"/>
    <x v="12"/>
    <x v="2"/>
    <n v="4271.5"/>
    <n v="5860"/>
    <n v="2683"/>
    <n v="72"/>
    <n v="4"/>
    <d v="2024-10-21T00:00:00"/>
    <n v="4271.5"/>
    <n v="0"/>
    <x v="0"/>
  </r>
  <r>
    <n v="338"/>
    <x v="7"/>
    <x v="4"/>
    <n v="5707"/>
    <n v="2792"/>
    <n v="2792"/>
    <n v="481"/>
    <n v="3.1"/>
    <d v="2024-11-09T00:00:00"/>
    <n v="2792"/>
    <n v="2915"/>
    <x v="1"/>
  </r>
  <r>
    <n v="340"/>
    <x v="12"/>
    <x v="1"/>
    <n v="1850"/>
    <n v="782"/>
    <n v="782"/>
    <n v="45"/>
    <n v="4"/>
    <d v="2024-11-19T00:00:00"/>
    <n v="782"/>
    <n v="1068"/>
    <x v="1"/>
  </r>
  <r>
    <n v="341"/>
    <x v="9"/>
    <x v="2"/>
    <n v="5743"/>
    <n v="749"/>
    <n v="749"/>
    <n v="260"/>
    <n v="3.4"/>
    <d v="2024-11-02T00:00:00"/>
    <n v="749"/>
    <n v="4994"/>
    <x v="1"/>
  </r>
  <r>
    <n v="342"/>
    <x v="15"/>
    <x v="2"/>
    <n v="3095"/>
    <n v="1853"/>
    <n v="4337"/>
    <n v="339"/>
    <n v="4.0999999999999996"/>
    <d v="2024-09-12T00:00:00"/>
    <n v="3095"/>
    <n v="0"/>
    <x v="0"/>
  </r>
  <r>
    <n v="344"/>
    <x v="12"/>
    <x v="4"/>
    <n v="5308"/>
    <n v="1829"/>
    <n v="1829"/>
    <n v="337"/>
    <n v="4.5"/>
    <d v="2024-11-02T00:00:00"/>
    <n v="1829"/>
    <n v="3479"/>
    <x v="1"/>
  </r>
  <r>
    <n v="345"/>
    <x v="17"/>
    <x v="4"/>
    <n v="3354"/>
    <n v="2739"/>
    <n v="2739"/>
    <n v="4"/>
    <n v="3.9725388601036289"/>
    <d v="2024-09-19T00:00:00"/>
    <n v="2739"/>
    <n v="615"/>
    <x v="1"/>
  </r>
  <r>
    <n v="346"/>
    <x v="16"/>
    <x v="4"/>
    <n v="1857.5"/>
    <n v="3113"/>
    <n v="602"/>
    <n v="475"/>
    <n v="3.9725388601036289"/>
    <d v="2024-11-26T00:00:00"/>
    <n v="1857.5"/>
    <n v="0"/>
    <x v="0"/>
  </r>
  <r>
    <n v="347"/>
    <x v="2"/>
    <x v="0"/>
    <n v="4560"/>
    <n v="4560"/>
    <n v="4560"/>
    <n v="6"/>
    <n v="3.4"/>
    <d v="2024-10-31T00:00:00"/>
    <n v="4560"/>
    <n v="0"/>
    <x v="0"/>
  </r>
  <r>
    <n v="348"/>
    <x v="1"/>
    <x v="4"/>
    <n v="3178"/>
    <n v="3178"/>
    <n v="3178"/>
    <n v="208"/>
    <n v="3.9725388601036289"/>
    <d v="2024-09-18T00:00:00"/>
    <n v="3178"/>
    <n v="0"/>
    <x v="0"/>
  </r>
  <r>
    <n v="352"/>
    <x v="8"/>
    <x v="0"/>
    <n v="364"/>
    <n v="5650"/>
    <n v="1479"/>
    <n v="195"/>
    <n v="3.9"/>
    <d v="2024-10-21T00:00:00"/>
    <n v="3564.5"/>
    <n v="-3200.5"/>
    <x v="2"/>
  </r>
  <r>
    <n v="353"/>
    <x v="16"/>
    <x v="2"/>
    <n v="4485"/>
    <n v="2236"/>
    <n v="4819"/>
    <n v="406"/>
    <n v="3.9725388601036289"/>
    <d v="2024-10-15T00:00:00"/>
    <n v="3527.5"/>
    <n v="957.5"/>
    <x v="1"/>
  </r>
  <r>
    <n v="354"/>
    <x v="13"/>
    <x v="2"/>
    <n v="1378"/>
    <n v="589"/>
    <n v="589"/>
    <n v="148"/>
    <n v="4.3"/>
    <d v="2024-09-27T00:00:00"/>
    <n v="589"/>
    <n v="789"/>
    <x v="1"/>
  </r>
  <r>
    <n v="355"/>
    <x v="9"/>
    <x v="0"/>
    <n v="4802"/>
    <n v="1468"/>
    <n v="1547"/>
    <n v="86"/>
    <n v="3.4"/>
    <d v="2024-09-19T00:00:00"/>
    <n v="1507.5"/>
    <n v="3294.5"/>
    <x v="1"/>
  </r>
  <r>
    <n v="356"/>
    <x v="11"/>
    <x v="4"/>
    <n v="972"/>
    <n v="972"/>
    <n v="972"/>
    <n v="87"/>
    <n v="3.2"/>
    <d v="2024-09-26T00:00:00"/>
    <n v="972"/>
    <n v="0"/>
    <x v="0"/>
  </r>
  <r>
    <n v="357"/>
    <x v="15"/>
    <x v="4"/>
    <n v="4955"/>
    <n v="4955"/>
    <n v="4955"/>
    <n v="52"/>
    <n v="4"/>
    <d v="2024-10-26T00:00:00"/>
    <n v="4955"/>
    <n v="0"/>
    <x v="0"/>
  </r>
  <r>
    <n v="358"/>
    <x v="14"/>
    <x v="3"/>
    <n v="1401"/>
    <n v="1401"/>
    <n v="1401"/>
    <n v="113"/>
    <n v="3.9725388601036289"/>
    <d v="2024-11-22T00:00:00"/>
    <n v="1401"/>
    <n v="0"/>
    <x v="0"/>
  </r>
  <r>
    <n v="360"/>
    <x v="17"/>
    <x v="0"/>
    <n v="4600"/>
    <n v="5268"/>
    <n v="1012"/>
    <n v="167"/>
    <n v="4.7"/>
    <d v="2024-10-20T00:00:00"/>
    <n v="3140"/>
    <n v="1460"/>
    <x v="1"/>
  </r>
  <r>
    <n v="362"/>
    <x v="13"/>
    <x v="4"/>
    <n v="3024"/>
    <n v="3024"/>
    <n v="3024"/>
    <n v="198"/>
    <n v="3.9725388601036289"/>
    <d v="2024-09-14T00:00:00"/>
    <n v="3024"/>
    <n v="0"/>
    <x v="0"/>
  </r>
  <r>
    <n v="364"/>
    <x v="11"/>
    <x v="0"/>
    <n v="1870"/>
    <n v="5407"/>
    <n v="4420"/>
    <n v="350"/>
    <n v="3.9725388601036289"/>
    <d v="2024-10-13T00:00:00"/>
    <n v="4913.5"/>
    <n v="-3043.5"/>
    <x v="2"/>
  </r>
  <r>
    <n v="365"/>
    <x v="8"/>
    <x v="4"/>
    <n v="1691"/>
    <n v="1321"/>
    <n v="1039"/>
    <n v="225"/>
    <n v="4.0999999999999996"/>
    <d v="2024-10-11T00:00:00"/>
    <n v="1180"/>
    <n v="511"/>
    <x v="1"/>
  </r>
  <r>
    <n v="367"/>
    <x v="10"/>
    <x v="2"/>
    <n v="1743"/>
    <n v="1743"/>
    <n v="1743"/>
    <n v="452"/>
    <n v="3.9725388601036289"/>
    <d v="2024-10-10T00:00:00"/>
    <n v="1743"/>
    <n v="0"/>
    <x v="0"/>
  </r>
  <r>
    <n v="368"/>
    <x v="3"/>
    <x v="0"/>
    <n v="3107.5"/>
    <n v="5911"/>
    <n v="304"/>
    <n v="144"/>
    <n v="3.5"/>
    <d v="2024-09-15T00:00:00"/>
    <n v="3107.5"/>
    <n v="0"/>
    <x v="0"/>
  </r>
  <r>
    <n v="369"/>
    <x v="12"/>
    <x v="0"/>
    <n v="2528"/>
    <n v="3643"/>
    <n v="3643"/>
    <n v="373"/>
    <n v="3.9725388601036289"/>
    <d v="2024-10-18T00:00:00"/>
    <n v="3643"/>
    <n v="-1115"/>
    <x v="2"/>
  </r>
  <r>
    <n v="371"/>
    <x v="12"/>
    <x v="2"/>
    <n v="5257"/>
    <n v="1093"/>
    <n v="4131"/>
    <n v="32"/>
    <n v="3.9725388601036289"/>
    <d v="2024-10-07T00:00:00"/>
    <n v="2612"/>
    <n v="2645"/>
    <x v="1"/>
  </r>
  <r>
    <n v="372"/>
    <x v="8"/>
    <x v="0"/>
    <n v="2853"/>
    <n v="3749"/>
    <n v="5513"/>
    <n v="410"/>
    <n v="4.2"/>
    <d v="2024-10-23T00:00:00"/>
    <n v="4631"/>
    <n v="-1778"/>
    <x v="2"/>
  </r>
  <r>
    <n v="373"/>
    <x v="8"/>
    <x v="0"/>
    <n v="368"/>
    <n v="672"/>
    <n v="1441"/>
    <n v="144"/>
    <n v="3.8"/>
    <d v="2024-11-28T00:00:00"/>
    <n v="1056.5"/>
    <n v="-688.5"/>
    <x v="2"/>
  </r>
  <r>
    <n v="374"/>
    <x v="8"/>
    <x v="3"/>
    <n v="1523"/>
    <n v="1523"/>
    <n v="1523"/>
    <n v="249"/>
    <n v="4.3"/>
    <d v="2024-09-01T00:00:00"/>
    <n v="1523"/>
    <n v="0"/>
    <x v="0"/>
  </r>
  <r>
    <n v="375"/>
    <x v="6"/>
    <x v="1"/>
    <n v="1677"/>
    <n v="1677"/>
    <n v="1677"/>
    <n v="192"/>
    <n v="4.7"/>
    <d v="2024-11-30T00:00:00"/>
    <n v="1677"/>
    <n v="0"/>
    <x v="0"/>
  </r>
  <r>
    <n v="376"/>
    <x v="11"/>
    <x v="4"/>
    <n v="751"/>
    <n v="850"/>
    <n v="652"/>
    <n v="48"/>
    <n v="3.9725388601036289"/>
    <d v="2024-10-04T00:00:00"/>
    <n v="751"/>
    <n v="0"/>
    <x v="0"/>
  </r>
  <r>
    <n v="377"/>
    <x v="10"/>
    <x v="3"/>
    <n v="1229"/>
    <n v="5665"/>
    <n v="5665"/>
    <n v="258"/>
    <n v="3.7"/>
    <d v="2024-09-12T00:00:00"/>
    <n v="5665"/>
    <n v="-4436"/>
    <x v="2"/>
  </r>
  <r>
    <n v="378"/>
    <x v="2"/>
    <x v="0"/>
    <n v="2225"/>
    <n v="4821"/>
    <n v="4821"/>
    <n v="483"/>
    <n v="4.5"/>
    <d v="2024-09-23T00:00:00"/>
    <n v="4821"/>
    <n v="-2596"/>
    <x v="2"/>
  </r>
  <r>
    <n v="379"/>
    <x v="18"/>
    <x v="2"/>
    <n v="4446.5"/>
    <n v="4413"/>
    <n v="4480"/>
    <n v="287"/>
    <n v="3.9725388601036289"/>
    <d v="2024-09-28T00:00:00"/>
    <n v="4446.5"/>
    <n v="0"/>
    <x v="0"/>
  </r>
  <r>
    <n v="380"/>
    <x v="11"/>
    <x v="0"/>
    <n v="930.5"/>
    <n v="1323"/>
    <n v="538"/>
    <n v="58"/>
    <n v="4.7"/>
    <d v="2024-09-04T00:00:00"/>
    <n v="930.5"/>
    <n v="0"/>
    <x v="0"/>
  </r>
  <r>
    <n v="381"/>
    <x v="10"/>
    <x v="4"/>
    <n v="5448"/>
    <n v="5618"/>
    <n v="5618"/>
    <n v="458"/>
    <n v="4.8"/>
    <d v="2024-10-27T00:00:00"/>
    <n v="5618"/>
    <n v="-170"/>
    <x v="2"/>
  </r>
  <r>
    <n v="382"/>
    <x v="16"/>
    <x v="2"/>
    <n v="1942"/>
    <n v="5971"/>
    <n v="5971"/>
    <n v="323"/>
    <n v="3.9725388601036289"/>
    <d v="2024-09-12T00:00:00"/>
    <n v="5971"/>
    <n v="-4029"/>
    <x v="2"/>
  </r>
  <r>
    <n v="383"/>
    <x v="6"/>
    <x v="4"/>
    <n v="4568"/>
    <n v="4568"/>
    <n v="4568"/>
    <n v="283"/>
    <n v="3.9725388601036289"/>
    <d v="2024-09-21T00:00:00"/>
    <n v="4568"/>
    <n v="0"/>
    <x v="0"/>
  </r>
  <r>
    <n v="384"/>
    <x v="12"/>
    <x v="0"/>
    <n v="5361"/>
    <n v="5051"/>
    <n v="5051"/>
    <n v="88"/>
    <n v="4.4000000000000004"/>
    <d v="2024-11-07T00:00:00"/>
    <n v="5051"/>
    <n v="310"/>
    <x v="1"/>
  </r>
  <r>
    <n v="386"/>
    <x v="9"/>
    <x v="1"/>
    <n v="4585"/>
    <n v="4345"/>
    <n v="3755"/>
    <n v="305"/>
    <n v="3.9725388601036289"/>
    <d v="2024-10-12T00:00:00"/>
    <n v="4050"/>
    <n v="535"/>
    <x v="1"/>
  </r>
  <r>
    <n v="387"/>
    <x v="10"/>
    <x v="3"/>
    <n v="5936"/>
    <n v="5936"/>
    <n v="5936"/>
    <n v="321"/>
    <n v="3.2"/>
    <d v="2024-09-19T00:00:00"/>
    <n v="5936"/>
    <n v="0"/>
    <x v="0"/>
  </r>
  <r>
    <n v="388"/>
    <x v="17"/>
    <x v="4"/>
    <n v="1030"/>
    <n v="4703"/>
    <n v="4703"/>
    <n v="88"/>
    <n v="3.7"/>
    <d v="2024-10-12T00:00:00"/>
    <n v="4703"/>
    <n v="-3673"/>
    <x v="2"/>
  </r>
  <r>
    <n v="390"/>
    <x v="6"/>
    <x v="4"/>
    <n v="1429"/>
    <n v="1313"/>
    <n v="1545"/>
    <n v="96"/>
    <n v="4.0999999999999996"/>
    <d v="2024-11-12T00:00:00"/>
    <n v="1429"/>
    <n v="0"/>
    <x v="0"/>
  </r>
  <r>
    <n v="391"/>
    <x v="16"/>
    <x v="0"/>
    <n v="4174"/>
    <n v="4174"/>
    <n v="4174"/>
    <n v="453"/>
    <n v="3.9725388601036289"/>
    <d v="2024-09-07T00:00:00"/>
    <n v="4174"/>
    <n v="0"/>
    <x v="0"/>
  </r>
  <r>
    <n v="392"/>
    <x v="1"/>
    <x v="1"/>
    <n v="5437"/>
    <n v="5182"/>
    <n v="5182"/>
    <n v="124"/>
    <n v="4.5999999999999996"/>
    <d v="2024-10-25T00:00:00"/>
    <n v="5182"/>
    <n v="255"/>
    <x v="1"/>
  </r>
  <r>
    <n v="393"/>
    <x v="9"/>
    <x v="0"/>
    <n v="2905.5"/>
    <n v="3576"/>
    <n v="2235"/>
    <n v="74"/>
    <n v="4.3"/>
    <d v="2024-10-03T00:00:00"/>
    <n v="2905.5"/>
    <n v="0"/>
    <x v="0"/>
  </r>
  <r>
    <n v="394"/>
    <x v="13"/>
    <x v="2"/>
    <n v="2559"/>
    <n v="4409"/>
    <n v="5253"/>
    <n v="366"/>
    <n v="3.5"/>
    <d v="2024-10-22T00:00:00"/>
    <n v="4831"/>
    <n v="-2272"/>
    <x v="2"/>
  </r>
  <r>
    <n v="395"/>
    <x v="0"/>
    <x v="2"/>
    <n v="4586"/>
    <n v="3078"/>
    <n v="1479"/>
    <n v="468"/>
    <n v="3.9725388601036289"/>
    <d v="2024-09-21T00:00:00"/>
    <n v="2278.5"/>
    <n v="2307.5"/>
    <x v="1"/>
  </r>
  <r>
    <n v="396"/>
    <x v="8"/>
    <x v="2"/>
    <n v="3621"/>
    <n v="3621"/>
    <n v="3621"/>
    <n v="42"/>
    <n v="3.9725388601036289"/>
    <d v="2024-10-17T00:00:00"/>
    <n v="3621"/>
    <n v="0"/>
    <x v="0"/>
  </r>
  <r>
    <n v="397"/>
    <x v="5"/>
    <x v="4"/>
    <n v="3444"/>
    <n v="741"/>
    <n v="5252"/>
    <n v="75"/>
    <n v="4.5999999999999996"/>
    <d v="2024-11-02T00:00:00"/>
    <n v="2996.5"/>
    <n v="447.5"/>
    <x v="1"/>
  </r>
  <r>
    <n v="398"/>
    <x v="7"/>
    <x v="4"/>
    <n v="268"/>
    <n v="2337"/>
    <n v="2864"/>
    <n v="348"/>
    <n v="4"/>
    <d v="2024-09-26T00:00:00"/>
    <n v="2600.5"/>
    <n v="-2332.5"/>
    <x v="2"/>
  </r>
  <r>
    <n v="399"/>
    <x v="3"/>
    <x v="3"/>
    <n v="4285"/>
    <n v="1651"/>
    <n v="1651"/>
    <n v="167"/>
    <n v="3.9725388601036289"/>
    <d v="2024-09-01T00:00:00"/>
    <n v="1651"/>
    <n v="2634"/>
    <x v="1"/>
  </r>
  <r>
    <n v="402"/>
    <x v="1"/>
    <x v="3"/>
    <n v="4643"/>
    <n v="4643"/>
    <n v="4643"/>
    <n v="55"/>
    <n v="4.5"/>
    <d v="2024-10-29T00:00:00"/>
    <n v="4643"/>
    <n v="0"/>
    <x v="0"/>
  </r>
  <r>
    <n v="403"/>
    <x v="6"/>
    <x v="4"/>
    <n v="3540"/>
    <n v="3540"/>
    <n v="3540"/>
    <n v="283"/>
    <n v="3.9725388601036289"/>
    <d v="2024-11-06T00:00:00"/>
    <n v="3540"/>
    <n v="0"/>
    <x v="0"/>
  </r>
  <r>
    <n v="404"/>
    <x v="2"/>
    <x v="2"/>
    <n v="4351"/>
    <n v="1977"/>
    <n v="1977"/>
    <n v="25"/>
    <n v="3.9725388601036289"/>
    <d v="2024-10-08T00:00:00"/>
    <n v="1977"/>
    <n v="2374"/>
    <x v="1"/>
  </r>
  <r>
    <n v="405"/>
    <x v="17"/>
    <x v="4"/>
    <n v="2650"/>
    <n v="2650"/>
    <n v="2650"/>
    <n v="22"/>
    <n v="3.9725388601036289"/>
    <d v="2024-09-24T00:00:00"/>
    <n v="2650"/>
    <n v="0"/>
    <x v="0"/>
  </r>
  <r>
    <n v="406"/>
    <x v="10"/>
    <x v="0"/>
    <n v="3689"/>
    <n v="3689"/>
    <n v="3689"/>
    <n v="256"/>
    <n v="3.7"/>
    <d v="2024-10-10T00:00:00"/>
    <n v="3689"/>
    <n v="0"/>
    <x v="0"/>
  </r>
  <r>
    <n v="407"/>
    <x v="1"/>
    <x v="0"/>
    <n v="5097"/>
    <n v="1336"/>
    <n v="1336"/>
    <n v="421"/>
    <n v="3.2"/>
    <d v="2024-10-06T00:00:00"/>
    <n v="1336"/>
    <n v="3761"/>
    <x v="1"/>
  </r>
  <r>
    <n v="409"/>
    <x v="1"/>
    <x v="4"/>
    <n v="5937"/>
    <n v="5937"/>
    <n v="5937"/>
    <n v="355"/>
    <n v="3.9725388601036289"/>
    <d v="2024-11-13T00:00:00"/>
    <n v="5937"/>
    <n v="0"/>
    <x v="0"/>
  </r>
  <r>
    <n v="411"/>
    <x v="0"/>
    <x v="0"/>
    <n v="1028"/>
    <n v="4511"/>
    <n v="4511"/>
    <n v="134"/>
    <n v="4.8"/>
    <d v="2024-09-02T00:00:00"/>
    <n v="4511"/>
    <n v="-3483"/>
    <x v="2"/>
  </r>
  <r>
    <n v="412"/>
    <x v="9"/>
    <x v="3"/>
    <n v="1959"/>
    <n v="3194"/>
    <n v="3194"/>
    <n v="170"/>
    <n v="3.9725388601036289"/>
    <d v="2024-09-12T00:00:00"/>
    <n v="3194"/>
    <n v="-1235"/>
    <x v="2"/>
  </r>
  <r>
    <n v="413"/>
    <x v="9"/>
    <x v="0"/>
    <n v="3612"/>
    <n v="3612"/>
    <n v="3612"/>
    <n v="72"/>
    <n v="3.9725388601036289"/>
    <d v="2024-10-05T00:00:00"/>
    <n v="3612"/>
    <n v="0"/>
    <x v="0"/>
  </r>
  <r>
    <n v="414"/>
    <x v="15"/>
    <x v="2"/>
    <n v="3637"/>
    <n v="5513"/>
    <n v="5513"/>
    <n v="326"/>
    <n v="3.3"/>
    <d v="2024-09-21T00:00:00"/>
    <n v="5513"/>
    <n v="-1876"/>
    <x v="2"/>
  </r>
  <r>
    <n v="415"/>
    <x v="5"/>
    <x v="3"/>
    <n v="1280"/>
    <n v="3576"/>
    <n v="3576"/>
    <n v="293"/>
    <n v="4.7"/>
    <d v="2024-10-05T00:00:00"/>
    <n v="3576"/>
    <n v="-2296"/>
    <x v="2"/>
  </r>
  <r>
    <n v="417"/>
    <x v="8"/>
    <x v="1"/>
    <n v="343"/>
    <n v="1213"/>
    <n v="1213"/>
    <n v="31"/>
    <n v="3.9725388601036289"/>
    <d v="2024-10-28T00:00:00"/>
    <n v="1213"/>
    <n v="-870"/>
    <x v="2"/>
  </r>
  <r>
    <n v="418"/>
    <x v="1"/>
    <x v="3"/>
    <n v="5984"/>
    <n v="1973"/>
    <n v="1973"/>
    <n v="367"/>
    <n v="3.9725388601036289"/>
    <d v="2024-09-23T00:00:00"/>
    <n v="1973"/>
    <n v="4011"/>
    <x v="1"/>
  </r>
  <r>
    <n v="419"/>
    <x v="3"/>
    <x v="2"/>
    <n v="2076"/>
    <n v="2076"/>
    <n v="2076"/>
    <n v="179"/>
    <n v="4.5999999999999996"/>
    <d v="2024-11-03T00:00:00"/>
    <n v="2076"/>
    <n v="0"/>
    <x v="0"/>
  </r>
  <r>
    <n v="420"/>
    <x v="17"/>
    <x v="2"/>
    <n v="5101"/>
    <n v="1285"/>
    <n v="1285"/>
    <n v="155"/>
    <n v="3.9725388601036289"/>
    <d v="2024-09-03T00:00:00"/>
    <n v="1285"/>
    <n v="3816"/>
    <x v="1"/>
  </r>
  <r>
    <n v="421"/>
    <x v="10"/>
    <x v="4"/>
    <n v="5290"/>
    <n v="5290"/>
    <n v="5290"/>
    <n v="286"/>
    <n v="3.1"/>
    <d v="2024-10-03T00:00:00"/>
    <n v="5290"/>
    <n v="0"/>
    <x v="0"/>
  </r>
  <r>
    <n v="423"/>
    <x v="8"/>
    <x v="4"/>
    <n v="208"/>
    <n v="2793"/>
    <n v="4737"/>
    <n v="476"/>
    <n v="4.8"/>
    <d v="2024-09-06T00:00:00"/>
    <n v="3765"/>
    <n v="-3557"/>
    <x v="2"/>
  </r>
  <r>
    <n v="424"/>
    <x v="12"/>
    <x v="2"/>
    <n v="4920"/>
    <n v="4920"/>
    <n v="4920"/>
    <n v="442"/>
    <n v="3.9725388601036289"/>
    <d v="2024-10-23T00:00:00"/>
    <n v="4920"/>
    <n v="0"/>
    <x v="0"/>
  </r>
  <r>
    <n v="425"/>
    <x v="17"/>
    <x v="4"/>
    <n v="2918"/>
    <n v="2918"/>
    <n v="2918"/>
    <n v="221"/>
    <n v="3.2"/>
    <d v="2024-11-26T00:00:00"/>
    <n v="2918"/>
    <n v="0"/>
    <x v="0"/>
  </r>
  <r>
    <n v="426"/>
    <x v="18"/>
    <x v="1"/>
    <n v="330"/>
    <n v="4302"/>
    <n v="4302"/>
    <n v="233"/>
    <n v="3.9725388601036289"/>
    <d v="2024-09-10T00:00:00"/>
    <n v="4302"/>
    <n v="-3972"/>
    <x v="2"/>
  </r>
  <r>
    <n v="427"/>
    <x v="13"/>
    <x v="0"/>
    <n v="5546"/>
    <n v="520"/>
    <n v="4602"/>
    <n v="43"/>
    <n v="4.3"/>
    <d v="2024-11-05T00:00:00"/>
    <n v="2561"/>
    <n v="2985"/>
    <x v="1"/>
  </r>
  <r>
    <n v="428"/>
    <x v="8"/>
    <x v="3"/>
    <n v="2265.5"/>
    <n v="3888"/>
    <n v="643"/>
    <n v="377"/>
    <n v="4.7"/>
    <d v="2024-11-04T00:00:00"/>
    <n v="2265.5"/>
    <n v="0"/>
    <x v="0"/>
  </r>
  <r>
    <n v="429"/>
    <x v="1"/>
    <x v="4"/>
    <n v="3577"/>
    <n v="1328"/>
    <n v="1328"/>
    <n v="465"/>
    <n v="3.9725388601036289"/>
    <d v="2024-10-17T00:00:00"/>
    <n v="1328"/>
    <n v="2249"/>
    <x v="1"/>
  </r>
  <r>
    <n v="430"/>
    <x v="8"/>
    <x v="4"/>
    <n v="3320.5"/>
    <n v="3551"/>
    <n v="3090"/>
    <n v="188"/>
    <n v="3.7"/>
    <d v="2024-10-04T00:00:00"/>
    <n v="3320.5"/>
    <n v="0"/>
    <x v="0"/>
  </r>
  <r>
    <n v="431"/>
    <x v="3"/>
    <x v="3"/>
    <n v="4998"/>
    <n v="4998"/>
    <n v="4998"/>
    <n v="173"/>
    <n v="3.9725388601036289"/>
    <d v="2024-10-12T00:00:00"/>
    <n v="4998"/>
    <n v="0"/>
    <x v="0"/>
  </r>
  <r>
    <n v="432"/>
    <x v="1"/>
    <x v="3"/>
    <n v="268"/>
    <n v="2451"/>
    <n v="2451"/>
    <n v="324"/>
    <n v="3.9725388601036289"/>
    <d v="2024-10-14T00:00:00"/>
    <n v="2451"/>
    <n v="-2183"/>
    <x v="2"/>
  </r>
  <r>
    <n v="433"/>
    <x v="4"/>
    <x v="1"/>
    <n v="4980"/>
    <n v="5389"/>
    <n v="5389"/>
    <n v="236"/>
    <n v="3.9725388601036289"/>
    <d v="2024-11-23T00:00:00"/>
    <n v="5389"/>
    <n v="-409"/>
    <x v="2"/>
  </r>
  <r>
    <n v="434"/>
    <x v="15"/>
    <x v="1"/>
    <n v="3084.5"/>
    <n v="2668"/>
    <n v="3501"/>
    <n v="155"/>
    <n v="3.9725388601036289"/>
    <d v="2024-10-05T00:00:00"/>
    <n v="3084.5"/>
    <n v="0"/>
    <x v="0"/>
  </r>
  <r>
    <n v="435"/>
    <x v="12"/>
    <x v="3"/>
    <n v="4972"/>
    <n v="286"/>
    <n v="286"/>
    <n v="308"/>
    <n v="3.9725388601036289"/>
    <d v="2024-11-27T00:00:00"/>
    <n v="286"/>
    <n v="4686"/>
    <x v="1"/>
  </r>
  <r>
    <n v="436"/>
    <x v="14"/>
    <x v="3"/>
    <n v="3645"/>
    <n v="3645"/>
    <n v="3645"/>
    <n v="111"/>
    <n v="3.9725388601036289"/>
    <d v="2024-11-16T00:00:00"/>
    <n v="3645"/>
    <n v="0"/>
    <x v="0"/>
  </r>
  <r>
    <n v="437"/>
    <x v="0"/>
    <x v="2"/>
    <n v="5831"/>
    <n v="5831"/>
    <n v="5831"/>
    <n v="400"/>
    <n v="3.9"/>
    <d v="2024-10-02T00:00:00"/>
    <n v="5831"/>
    <n v="0"/>
    <x v="0"/>
  </r>
  <r>
    <n v="438"/>
    <x v="16"/>
    <x v="2"/>
    <n v="3281"/>
    <n v="365"/>
    <n v="365"/>
    <n v="291"/>
    <n v="3.9725388601036289"/>
    <d v="2024-10-01T00:00:00"/>
    <n v="365"/>
    <n v="2916"/>
    <x v="1"/>
  </r>
  <r>
    <n v="441"/>
    <x v="15"/>
    <x v="2"/>
    <n v="1056"/>
    <n v="5087"/>
    <n v="4292"/>
    <n v="72"/>
    <n v="3.9725388601036289"/>
    <d v="2024-09-10T00:00:00"/>
    <n v="4689.5"/>
    <n v="-3633.5"/>
    <x v="2"/>
  </r>
  <r>
    <n v="443"/>
    <x v="14"/>
    <x v="3"/>
    <n v="1740"/>
    <n v="1740"/>
    <n v="1740"/>
    <n v="175"/>
    <n v="3.9725388601036289"/>
    <d v="2024-10-29T00:00:00"/>
    <n v="1740"/>
    <n v="0"/>
    <x v="0"/>
  </r>
  <r>
    <n v="444"/>
    <x v="8"/>
    <x v="4"/>
    <n v="1050"/>
    <n v="1050"/>
    <n v="1050"/>
    <n v="285"/>
    <n v="3.6"/>
    <d v="2024-10-14T00:00:00"/>
    <n v="1050"/>
    <n v="0"/>
    <x v="0"/>
  </r>
  <r>
    <n v="445"/>
    <x v="2"/>
    <x v="3"/>
    <n v="4086"/>
    <n v="3005"/>
    <n v="5167"/>
    <n v="369"/>
    <n v="3.9725388601036289"/>
    <d v="2024-10-26T00:00:00"/>
    <n v="4086"/>
    <n v="0"/>
    <x v="0"/>
  </r>
  <r>
    <n v="447"/>
    <x v="9"/>
    <x v="2"/>
    <n v="4675"/>
    <n v="4675"/>
    <n v="4675"/>
    <n v="290"/>
    <n v="3.1"/>
    <d v="2024-09-29T00:00:00"/>
    <n v="4675"/>
    <n v="0"/>
    <x v="0"/>
  </r>
  <r>
    <n v="450"/>
    <x v="2"/>
    <x v="4"/>
    <n v="5257"/>
    <n v="5257"/>
    <n v="5257"/>
    <n v="26"/>
    <n v="3.7"/>
    <d v="2024-09-05T00:00:00"/>
    <n v="5257"/>
    <n v="0"/>
    <x v="0"/>
  </r>
  <r>
    <n v="451"/>
    <x v="2"/>
    <x v="2"/>
    <n v="4568"/>
    <n v="1214"/>
    <n v="1214"/>
    <n v="189"/>
    <n v="3.1"/>
    <d v="2024-10-07T00:00:00"/>
    <n v="1214"/>
    <n v="3354"/>
    <x v="1"/>
  </r>
  <r>
    <n v="453"/>
    <x v="3"/>
    <x v="3"/>
    <n v="1666"/>
    <n v="3575"/>
    <n v="3575"/>
    <n v="322"/>
    <n v="3.9725388601036289"/>
    <d v="2024-10-27T00:00:00"/>
    <n v="3575"/>
    <n v="-1909"/>
    <x v="2"/>
  </r>
  <r>
    <n v="454"/>
    <x v="10"/>
    <x v="1"/>
    <n v="4074"/>
    <n v="4074"/>
    <n v="4074"/>
    <n v="256"/>
    <n v="4.3"/>
    <d v="2024-09-17T00:00:00"/>
    <n v="4074"/>
    <n v="0"/>
    <x v="0"/>
  </r>
  <r>
    <n v="455"/>
    <x v="14"/>
    <x v="2"/>
    <n v="4064"/>
    <n v="4064"/>
    <n v="4064"/>
    <n v="138"/>
    <n v="3.4"/>
    <d v="2024-10-23T00:00:00"/>
    <n v="4064"/>
    <n v="0"/>
    <x v="0"/>
  </r>
  <r>
    <n v="456"/>
    <x v="19"/>
    <x v="0"/>
    <n v="2200"/>
    <n v="2200"/>
    <n v="2200"/>
    <n v="475"/>
    <n v="3.9725388601036289"/>
    <d v="2024-10-22T00:00:00"/>
    <n v="2200"/>
    <n v="0"/>
    <x v="0"/>
  </r>
  <r>
    <n v="457"/>
    <x v="14"/>
    <x v="4"/>
    <n v="1063"/>
    <n v="2762"/>
    <n v="2762"/>
    <n v="166"/>
    <n v="4.5"/>
    <d v="2024-11-20T00:00:00"/>
    <n v="2762"/>
    <n v="-1699"/>
    <x v="2"/>
  </r>
  <r>
    <n v="459"/>
    <x v="9"/>
    <x v="2"/>
    <n v="3239"/>
    <n v="1397"/>
    <n v="4770"/>
    <n v="471"/>
    <n v="3.9725388601036289"/>
    <d v="2024-09-22T00:00:00"/>
    <n v="3083.5"/>
    <n v="155.5"/>
    <x v="1"/>
  </r>
  <r>
    <n v="460"/>
    <x v="4"/>
    <x v="3"/>
    <n v="5084"/>
    <n v="3962"/>
    <n v="1401"/>
    <n v="134"/>
    <n v="3.3"/>
    <d v="2024-10-08T00:00:00"/>
    <n v="2681.5"/>
    <n v="2402.5"/>
    <x v="1"/>
  </r>
  <r>
    <n v="461"/>
    <x v="10"/>
    <x v="1"/>
    <n v="712"/>
    <n v="712"/>
    <n v="712"/>
    <n v="464"/>
    <n v="3.2"/>
    <d v="2024-10-08T00:00:00"/>
    <n v="712"/>
    <n v="0"/>
    <x v="0"/>
  </r>
  <r>
    <n v="462"/>
    <x v="18"/>
    <x v="4"/>
    <n v="4629"/>
    <n v="5891"/>
    <n v="5891"/>
    <n v="286"/>
    <n v="3.9725388601036289"/>
    <d v="2024-09-20T00:00:00"/>
    <n v="5891"/>
    <n v="-1262"/>
    <x v="2"/>
  </r>
  <r>
    <n v="463"/>
    <x v="0"/>
    <x v="3"/>
    <n v="3200"/>
    <n v="2422"/>
    <n v="4551"/>
    <n v="464"/>
    <n v="3.8"/>
    <d v="2024-10-29T00:00:00"/>
    <n v="3486.5"/>
    <n v="-286.5"/>
    <x v="2"/>
  </r>
  <r>
    <n v="464"/>
    <x v="7"/>
    <x v="2"/>
    <n v="5769"/>
    <n v="5769"/>
    <n v="5769"/>
    <n v="480"/>
    <n v="3.9725388601036289"/>
    <d v="2024-09-11T00:00:00"/>
    <n v="5769"/>
    <n v="0"/>
    <x v="0"/>
  </r>
  <r>
    <n v="465"/>
    <x v="9"/>
    <x v="4"/>
    <n v="1924"/>
    <n v="1924"/>
    <n v="1924"/>
    <n v="430"/>
    <n v="3.9725388601036289"/>
    <d v="2024-09-03T00:00:00"/>
    <n v="1924"/>
    <n v="0"/>
    <x v="0"/>
  </r>
  <r>
    <n v="466"/>
    <x v="5"/>
    <x v="2"/>
    <n v="4154"/>
    <n v="1906"/>
    <n v="3460"/>
    <n v="260"/>
    <n v="4.5999999999999996"/>
    <d v="2024-10-11T00:00:00"/>
    <n v="2683"/>
    <n v="1471"/>
    <x v="1"/>
  </r>
  <r>
    <n v="467"/>
    <x v="15"/>
    <x v="0"/>
    <n v="503"/>
    <n v="503"/>
    <n v="503"/>
    <n v="408"/>
    <n v="3.9725388601036289"/>
    <d v="2024-10-04T00:00:00"/>
    <n v="503"/>
    <n v="0"/>
    <x v="0"/>
  </r>
  <r>
    <n v="469"/>
    <x v="8"/>
    <x v="1"/>
    <n v="3030"/>
    <n v="3210"/>
    <n v="3210"/>
    <n v="224"/>
    <n v="4.5999999999999996"/>
    <d v="2024-10-27T00:00:00"/>
    <n v="3210"/>
    <n v="-180"/>
    <x v="2"/>
  </r>
  <r>
    <n v="475"/>
    <x v="4"/>
    <x v="3"/>
    <n v="1726"/>
    <n v="1413"/>
    <n v="1413"/>
    <n v="107"/>
    <n v="3.9725388601036289"/>
    <d v="2024-10-05T00:00:00"/>
    <n v="1413"/>
    <n v="313"/>
    <x v="1"/>
  </r>
  <r>
    <n v="476"/>
    <x v="14"/>
    <x v="0"/>
    <n v="4564"/>
    <n v="4036"/>
    <n v="4036"/>
    <n v="170"/>
    <n v="4.2"/>
    <d v="2024-10-08T00:00:00"/>
    <n v="4036"/>
    <n v="528"/>
    <x v="1"/>
  </r>
  <r>
    <n v="477"/>
    <x v="12"/>
    <x v="1"/>
    <n v="3301"/>
    <n v="5851"/>
    <n v="751"/>
    <n v="208"/>
    <n v="4.5999999999999996"/>
    <d v="2024-09-02T00:00:00"/>
    <n v="3301"/>
    <n v="0"/>
    <x v="0"/>
  </r>
  <r>
    <n v="478"/>
    <x v="2"/>
    <x v="3"/>
    <n v="5519"/>
    <n v="2523"/>
    <n v="2523"/>
    <n v="333"/>
    <n v="3.9725388601036289"/>
    <d v="2024-10-22T00:00:00"/>
    <n v="2523"/>
    <n v="2996"/>
    <x v="1"/>
  </r>
  <r>
    <n v="479"/>
    <x v="6"/>
    <x v="1"/>
    <n v="4796"/>
    <n v="4796"/>
    <n v="4796"/>
    <n v="314"/>
    <n v="3.9725388601036289"/>
    <d v="2024-09-04T00:00:00"/>
    <n v="4796"/>
    <n v="0"/>
    <x v="0"/>
  </r>
  <r>
    <n v="480"/>
    <x v="1"/>
    <x v="4"/>
    <n v="1185"/>
    <n v="5499"/>
    <n v="5499"/>
    <n v="287"/>
    <n v="3.9725388601036289"/>
    <d v="2024-11-26T00:00:00"/>
    <n v="5499"/>
    <n v="-4314"/>
    <x v="2"/>
  </r>
  <r>
    <n v="481"/>
    <x v="6"/>
    <x v="1"/>
    <n v="1469"/>
    <n v="1469"/>
    <n v="1469"/>
    <n v="478"/>
    <n v="3.9725388601036289"/>
    <d v="2024-09-08T00:00:00"/>
    <n v="1469"/>
    <n v="0"/>
    <x v="0"/>
  </r>
  <r>
    <n v="482"/>
    <x v="14"/>
    <x v="2"/>
    <n v="4218"/>
    <n v="4218"/>
    <n v="4218"/>
    <n v="153"/>
    <n v="3.9725388601036289"/>
    <d v="2024-10-23T00:00:00"/>
    <n v="4218"/>
    <n v="0"/>
    <x v="0"/>
  </r>
  <r>
    <n v="483"/>
    <x v="14"/>
    <x v="2"/>
    <n v="2666"/>
    <n v="240"/>
    <n v="5092"/>
    <n v="252"/>
    <n v="3.9725388601036289"/>
    <d v="2024-11-29T00:00:00"/>
    <n v="2666"/>
    <n v="0"/>
    <x v="0"/>
  </r>
  <r>
    <n v="484"/>
    <x v="17"/>
    <x v="4"/>
    <n v="2923"/>
    <n v="2923"/>
    <n v="2923"/>
    <n v="331"/>
    <n v="3.4"/>
    <d v="2024-11-07T00:00:00"/>
    <n v="2923"/>
    <n v="0"/>
    <x v="0"/>
  </r>
  <r>
    <n v="485"/>
    <x v="15"/>
    <x v="3"/>
    <n v="3081.5"/>
    <n v="5441"/>
    <n v="722"/>
    <n v="218"/>
    <n v="4.5999999999999996"/>
    <d v="2024-11-08T00:00:00"/>
    <n v="3081.5"/>
    <n v="0"/>
    <x v="0"/>
  </r>
  <r>
    <n v="486"/>
    <x v="7"/>
    <x v="0"/>
    <n v="4600"/>
    <n v="4600"/>
    <n v="4600"/>
    <n v="281"/>
    <n v="3.8"/>
    <d v="2024-10-29T00:00:00"/>
    <n v="4600"/>
    <n v="0"/>
    <x v="0"/>
  </r>
  <r>
    <n v="489"/>
    <x v="7"/>
    <x v="4"/>
    <n v="2637"/>
    <n v="2669"/>
    <n v="2669"/>
    <n v="300"/>
    <n v="3.3"/>
    <d v="2024-11-04T00:00:00"/>
    <n v="2669"/>
    <n v="-32"/>
    <x v="0"/>
  </r>
  <r>
    <n v="490"/>
    <x v="13"/>
    <x v="0"/>
    <n v="1077"/>
    <n v="3470"/>
    <n v="4690"/>
    <n v="201"/>
    <n v="3.9725388601036289"/>
    <d v="2024-09-14T00:00:00"/>
    <n v="4080"/>
    <n v="-3003"/>
    <x v="2"/>
  </r>
  <r>
    <n v="491"/>
    <x v="9"/>
    <x v="4"/>
    <n v="3032"/>
    <n v="5129"/>
    <n v="5129"/>
    <n v="46"/>
    <n v="3.9725388601036289"/>
    <d v="2024-11-02T00:00:00"/>
    <n v="5129"/>
    <n v="-2097"/>
    <x v="2"/>
  </r>
  <r>
    <n v="492"/>
    <x v="17"/>
    <x v="1"/>
    <n v="2773.5"/>
    <n v="3285"/>
    <n v="2262"/>
    <n v="99"/>
    <n v="4.4000000000000004"/>
    <d v="2024-10-29T00:00:00"/>
    <n v="2773.5"/>
    <n v="0"/>
    <x v="0"/>
  </r>
  <r>
    <n v="494"/>
    <x v="1"/>
    <x v="4"/>
    <n v="2300.5"/>
    <n v="990"/>
    <n v="3611"/>
    <n v="19"/>
    <n v="3.6"/>
    <d v="2024-10-26T00:00:00"/>
    <n v="2300.5"/>
    <n v="0"/>
    <x v="0"/>
  </r>
  <r>
    <n v="495"/>
    <x v="4"/>
    <x v="3"/>
    <n v="401"/>
    <n v="4556"/>
    <n v="4556"/>
    <n v="371"/>
    <n v="3.9725388601036289"/>
    <d v="2024-11-27T00:00:00"/>
    <n v="4556"/>
    <n v="-4155"/>
    <x v="2"/>
  </r>
  <r>
    <n v="496"/>
    <x v="2"/>
    <x v="4"/>
    <n v="5926"/>
    <n v="5926"/>
    <n v="5926"/>
    <n v="43"/>
    <n v="4.0999999999999996"/>
    <d v="2024-11-12T00:00:00"/>
    <n v="5926"/>
    <n v="0"/>
    <x v="0"/>
  </r>
  <r>
    <n v="497"/>
    <x v="10"/>
    <x v="0"/>
    <n v="4094"/>
    <n v="4345"/>
    <n v="3843"/>
    <n v="233"/>
    <n v="3.9725388601036289"/>
    <d v="2024-11-25T00:00:00"/>
    <n v="4094"/>
    <n v="0"/>
    <x v="0"/>
  </r>
  <r>
    <n v="499"/>
    <x v="11"/>
    <x v="1"/>
    <n v="4202"/>
    <n v="4269"/>
    <n v="3547"/>
    <n v="17"/>
    <n v="3.9725388601036289"/>
    <d v="2024-10-30T00:00:00"/>
    <n v="3908"/>
    <n v="294"/>
    <x v="1"/>
  </r>
  <r>
    <n v="500"/>
    <x v="12"/>
    <x v="1"/>
    <n v="4102"/>
    <n v="918"/>
    <n v="2510"/>
    <n v="388"/>
    <n v="4.5"/>
    <d v="2024-09-22T00:00:00"/>
    <n v="1714"/>
    <n v="238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FC2C7-8741-4B7B-9B1F-A1283985140E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6">
  <location ref="L3:M14" firstHeaderRow="1" firstDataRow="1" firstDataCol="1" rowPageCount="1" colPageCount="1"/>
  <pivotFields count="12">
    <pivotField showAll="0"/>
    <pivotField axis="axisRow" showAll="0" measureFilter="1" sortType="descending">
      <items count="21">
        <item x="8"/>
        <item x="7"/>
        <item x="2"/>
        <item x="16"/>
        <item x="12"/>
        <item x="5"/>
        <item x="4"/>
        <item x="10"/>
        <item x="13"/>
        <item x="9"/>
        <item x="15"/>
        <item x="0"/>
        <item x="17"/>
        <item x="3"/>
        <item x="11"/>
        <item x="19"/>
        <item x="14"/>
        <item x="1"/>
        <item x="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5" showAll="0"/>
    <pivotField numFmtId="164" showAll="0"/>
    <pivotField showAll="0"/>
    <pivotField dataField="1" showAll="0"/>
    <pivotField axis="axisPage" multipleItemSelectionAllowed="1" showAll="0">
      <items count="4">
        <item h="1" x="0"/>
        <item x="1"/>
        <item h="1" x="2"/>
        <item t="default"/>
      </items>
    </pivotField>
  </pivotFields>
  <rowFields count="1">
    <field x="1"/>
  </rowFields>
  <rowItems count="11">
    <i>
      <x v="9"/>
    </i>
    <i>
      <x v="5"/>
    </i>
    <i>
      <x v="17"/>
    </i>
    <i>
      <x v="4"/>
    </i>
    <i>
      <x v="16"/>
    </i>
    <i>
      <x v="12"/>
    </i>
    <i>
      <x v="8"/>
    </i>
    <i>
      <x v="1"/>
    </i>
    <i>
      <x v="15"/>
    </i>
    <i>
      <x v="19"/>
    </i>
    <i t="grand">
      <x/>
    </i>
  </rowItems>
  <colItems count="1">
    <i/>
  </colItems>
  <pageFields count="1">
    <pageField fld="11" hier="-1"/>
  </pageFields>
  <dataFields count="1">
    <dataField name="Max of Price_Difference" fld="10" subtotal="max" baseField="1" baseItem="17"/>
  </dataFields>
  <chartFormats count="5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20960-A56A-43FB-9A63-CCFBDF57DB00}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9">
  <location ref="G3:J9" firstHeaderRow="1" firstDataRow="2" firstDataCol="1"/>
  <pivotFields count="12"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showAll="0"/>
    <pivotField showAll="0"/>
    <pivotField numFmtId="165" showAll="0"/>
    <pivotField numFmtId="164"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Fields count="1">
    <field x="11"/>
  </colFields>
  <colItems count="3">
    <i>
      <x/>
    </i>
    <i>
      <x v="1"/>
    </i>
    <i>
      <x v="2"/>
    </i>
  </colItems>
  <dataFields count="1">
    <dataField name="Count of Pricing_Status" fld="11" subtotal="count" baseField="0" baseItem="0"/>
  </dataFields>
  <chartFormats count="6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9D8352-5AE2-4309-BB7D-95D2258B275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4"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icing_Status" fld="11" subtotal="count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4AF7-96BC-456E-A83D-4E340DB4EA65}">
  <dimension ref="A1"/>
  <sheetViews>
    <sheetView zoomScaleNormal="100" workbookViewId="0">
      <selection activeCell="U7" sqref="U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1"/>
  <sheetViews>
    <sheetView topLeftCell="A354" workbookViewId="0">
      <selection activeCell="D22" sqref="D22"/>
    </sheetView>
  </sheetViews>
  <sheetFormatPr defaultRowHeight="14.4" x14ac:dyDescent="0.3"/>
  <cols>
    <col min="1" max="1" width="11.109375" customWidth="1"/>
    <col min="2" max="2" width="20.88671875" customWidth="1"/>
    <col min="3" max="3" width="14.6640625" customWidth="1"/>
    <col min="4" max="4" width="15.5546875" customWidth="1"/>
    <col min="5" max="5" width="22.5546875" customWidth="1"/>
    <col min="6" max="6" width="22.21875" customWidth="1"/>
    <col min="7" max="7" width="13.77734375" customWidth="1"/>
    <col min="8" max="8" width="12.77734375" style="2" customWidth="1"/>
    <col min="9" max="9" width="13.5546875" style="1" customWidth="1"/>
    <col min="10" max="10" width="19.33203125" customWidth="1"/>
    <col min="11" max="11" width="15.33203125" customWidth="1"/>
    <col min="12" max="12" width="12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1" t="s">
        <v>8</v>
      </c>
      <c r="J1" t="s">
        <v>34</v>
      </c>
      <c r="K1" t="s">
        <v>35</v>
      </c>
      <c r="L1" t="s">
        <v>36</v>
      </c>
    </row>
    <row r="2" spans="1:12" x14ac:dyDescent="0.3">
      <c r="A2">
        <v>1</v>
      </c>
      <c r="B2" t="s">
        <v>9</v>
      </c>
      <c r="C2" t="s">
        <v>10</v>
      </c>
      <c r="D2">
        <v>1874</v>
      </c>
      <c r="E2">
        <v>1496</v>
      </c>
      <c r="F2">
        <v>2252</v>
      </c>
      <c r="G2">
        <v>339</v>
      </c>
      <c r="H2" s="2">
        <v>3.9725388601036289</v>
      </c>
      <c r="I2" s="1">
        <v>45626</v>
      </c>
      <c r="J2">
        <v>1874</v>
      </c>
      <c r="K2">
        <f xml:space="preserve"> D2 - J2</f>
        <v>0</v>
      </c>
      <c r="L2" t="str">
        <f>IF(K2&gt;100,"Overpriced",IF(K2&lt;-100,"Underpriced","Competitive"))</f>
        <v>Competitive</v>
      </c>
    </row>
    <row r="3" spans="1:12" x14ac:dyDescent="0.3">
      <c r="A3">
        <v>3</v>
      </c>
      <c r="B3" t="s">
        <v>13</v>
      </c>
      <c r="C3" t="s">
        <v>14</v>
      </c>
      <c r="D3">
        <v>1296</v>
      </c>
      <c r="E3">
        <v>319</v>
      </c>
      <c r="F3">
        <v>319</v>
      </c>
      <c r="G3">
        <v>273</v>
      </c>
      <c r="H3" s="2">
        <v>3.9725388601036289</v>
      </c>
      <c r="I3" s="1">
        <v>45591</v>
      </c>
      <c r="J3">
        <v>319</v>
      </c>
      <c r="K3">
        <f t="shared" ref="K3:K66" si="0" xml:space="preserve"> D3 - J3</f>
        <v>977</v>
      </c>
      <c r="L3" t="str">
        <f t="shared" ref="L3:L66" si="1">IF(K3&gt;100,"Overpriced",IF(K3&lt;-100,"Underpriced","Competitive"))</f>
        <v>Overpriced</v>
      </c>
    </row>
    <row r="4" spans="1:12" x14ac:dyDescent="0.3">
      <c r="A4">
        <v>4</v>
      </c>
      <c r="B4" t="s">
        <v>15</v>
      </c>
      <c r="C4" t="s">
        <v>16</v>
      </c>
      <c r="D4">
        <v>781</v>
      </c>
      <c r="E4">
        <v>4945</v>
      </c>
      <c r="F4">
        <v>4945</v>
      </c>
      <c r="G4">
        <v>278</v>
      </c>
      <c r="H4" s="2">
        <v>3.9725388601036289</v>
      </c>
      <c r="I4" s="1">
        <v>45570</v>
      </c>
      <c r="J4">
        <v>4945</v>
      </c>
      <c r="K4">
        <f t="shared" si="0"/>
        <v>-4164</v>
      </c>
      <c r="L4" t="str">
        <f t="shared" si="1"/>
        <v>Underpriced</v>
      </c>
    </row>
    <row r="5" spans="1:12" x14ac:dyDescent="0.3">
      <c r="A5">
        <v>5</v>
      </c>
      <c r="B5" t="s">
        <v>9</v>
      </c>
      <c r="C5" t="s">
        <v>16</v>
      </c>
      <c r="D5">
        <v>1725</v>
      </c>
      <c r="E5">
        <v>1725</v>
      </c>
      <c r="F5">
        <v>1725</v>
      </c>
      <c r="G5">
        <v>445</v>
      </c>
      <c r="H5" s="2">
        <v>4.2</v>
      </c>
      <c r="I5" s="1">
        <v>45542</v>
      </c>
      <c r="J5">
        <v>1725</v>
      </c>
      <c r="K5">
        <f t="shared" si="0"/>
        <v>0</v>
      </c>
      <c r="L5" t="str">
        <f t="shared" si="1"/>
        <v>Competitive</v>
      </c>
    </row>
    <row r="6" spans="1:12" x14ac:dyDescent="0.3">
      <c r="A6">
        <v>6</v>
      </c>
      <c r="B6" t="s">
        <v>17</v>
      </c>
      <c r="C6" t="s">
        <v>10</v>
      </c>
      <c r="D6">
        <v>4618.5</v>
      </c>
      <c r="E6">
        <v>5644</v>
      </c>
      <c r="F6">
        <v>3593</v>
      </c>
      <c r="G6">
        <v>293</v>
      </c>
      <c r="H6" s="2">
        <v>3.9725388601036289</v>
      </c>
      <c r="I6" s="1">
        <v>45550</v>
      </c>
      <c r="J6">
        <v>4618.5</v>
      </c>
      <c r="K6">
        <f t="shared" si="0"/>
        <v>0</v>
      </c>
      <c r="L6" t="str">
        <f t="shared" si="1"/>
        <v>Competitive</v>
      </c>
    </row>
    <row r="7" spans="1:12" x14ac:dyDescent="0.3">
      <c r="A7">
        <v>7</v>
      </c>
      <c r="B7" t="s">
        <v>18</v>
      </c>
      <c r="C7" t="s">
        <v>10</v>
      </c>
      <c r="D7">
        <v>3576</v>
      </c>
      <c r="E7">
        <v>2356</v>
      </c>
      <c r="F7">
        <v>2356</v>
      </c>
      <c r="G7">
        <v>157</v>
      </c>
      <c r="H7" s="2">
        <v>3.9725388601036289</v>
      </c>
      <c r="I7" s="1">
        <v>45596</v>
      </c>
      <c r="J7">
        <v>2356</v>
      </c>
      <c r="K7">
        <f t="shared" si="0"/>
        <v>1220</v>
      </c>
      <c r="L7" t="str">
        <f t="shared" si="1"/>
        <v>Overpriced</v>
      </c>
    </row>
    <row r="8" spans="1:12" x14ac:dyDescent="0.3">
      <c r="A8">
        <v>10</v>
      </c>
      <c r="B8" t="s">
        <v>15</v>
      </c>
      <c r="C8" t="s">
        <v>14</v>
      </c>
      <c r="D8">
        <v>4667</v>
      </c>
      <c r="E8">
        <v>4667</v>
      </c>
      <c r="F8">
        <v>4667</v>
      </c>
      <c r="G8">
        <v>140</v>
      </c>
      <c r="H8" s="2">
        <v>3.5</v>
      </c>
      <c r="I8" s="1">
        <v>45546</v>
      </c>
      <c r="J8">
        <v>4667</v>
      </c>
      <c r="K8">
        <f t="shared" si="0"/>
        <v>0</v>
      </c>
      <c r="L8" t="str">
        <f t="shared" si="1"/>
        <v>Competitive</v>
      </c>
    </row>
    <row r="9" spans="1:12" x14ac:dyDescent="0.3">
      <c r="A9">
        <v>11</v>
      </c>
      <c r="B9" t="s">
        <v>21</v>
      </c>
      <c r="C9" t="s">
        <v>14</v>
      </c>
      <c r="D9">
        <v>3529</v>
      </c>
      <c r="E9">
        <v>1692</v>
      </c>
      <c r="F9">
        <v>1692</v>
      </c>
      <c r="G9">
        <v>44</v>
      </c>
      <c r="H9" s="2">
        <v>3.3</v>
      </c>
      <c r="I9" s="1">
        <v>45554</v>
      </c>
      <c r="J9">
        <v>1692</v>
      </c>
      <c r="K9">
        <f t="shared" si="0"/>
        <v>1837</v>
      </c>
      <c r="L9" t="str">
        <f t="shared" si="1"/>
        <v>Overpriced</v>
      </c>
    </row>
    <row r="10" spans="1:12" x14ac:dyDescent="0.3">
      <c r="A10">
        <v>12</v>
      </c>
      <c r="B10" t="s">
        <v>22</v>
      </c>
      <c r="C10" t="s">
        <v>19</v>
      </c>
      <c r="D10">
        <v>4259</v>
      </c>
      <c r="E10">
        <v>2586</v>
      </c>
      <c r="F10">
        <v>2586</v>
      </c>
      <c r="G10">
        <v>160</v>
      </c>
      <c r="H10" s="2">
        <v>3.9725388601036289</v>
      </c>
      <c r="I10" s="1">
        <v>45574</v>
      </c>
      <c r="J10">
        <v>2586</v>
      </c>
      <c r="K10">
        <f t="shared" si="0"/>
        <v>1673</v>
      </c>
      <c r="L10" t="str">
        <f t="shared" si="1"/>
        <v>Overpriced</v>
      </c>
    </row>
    <row r="11" spans="1:12" x14ac:dyDescent="0.3">
      <c r="A11">
        <v>13</v>
      </c>
      <c r="B11" t="s">
        <v>22</v>
      </c>
      <c r="C11" t="s">
        <v>14</v>
      </c>
      <c r="D11">
        <v>1302</v>
      </c>
      <c r="E11">
        <v>1709</v>
      </c>
      <c r="F11">
        <v>1709</v>
      </c>
      <c r="G11">
        <v>153</v>
      </c>
      <c r="H11" s="2">
        <v>3.5</v>
      </c>
      <c r="I11" s="1">
        <v>45595</v>
      </c>
      <c r="J11">
        <v>1709</v>
      </c>
      <c r="K11">
        <f t="shared" si="0"/>
        <v>-407</v>
      </c>
      <c r="L11" t="str">
        <f t="shared" si="1"/>
        <v>Underpriced</v>
      </c>
    </row>
    <row r="12" spans="1:12" x14ac:dyDescent="0.3">
      <c r="A12">
        <v>15</v>
      </c>
      <c r="B12" t="s">
        <v>24</v>
      </c>
      <c r="C12" t="s">
        <v>14</v>
      </c>
      <c r="D12">
        <v>874</v>
      </c>
      <c r="E12">
        <v>874</v>
      </c>
      <c r="F12">
        <v>874</v>
      </c>
      <c r="G12">
        <v>369</v>
      </c>
      <c r="H12" s="2">
        <v>3.9</v>
      </c>
      <c r="I12" s="1">
        <v>45595</v>
      </c>
      <c r="J12">
        <v>874</v>
      </c>
      <c r="K12">
        <f t="shared" si="0"/>
        <v>0</v>
      </c>
      <c r="L12" t="str">
        <f t="shared" si="1"/>
        <v>Competitive</v>
      </c>
    </row>
    <row r="13" spans="1:12" x14ac:dyDescent="0.3">
      <c r="A13">
        <v>16</v>
      </c>
      <c r="B13" t="s">
        <v>20</v>
      </c>
      <c r="C13" t="s">
        <v>16</v>
      </c>
      <c r="D13">
        <v>1266</v>
      </c>
      <c r="E13">
        <v>2133</v>
      </c>
      <c r="F13">
        <v>2133</v>
      </c>
      <c r="G13">
        <v>324</v>
      </c>
      <c r="H13" s="2">
        <v>3.1</v>
      </c>
      <c r="I13" s="1">
        <v>45562</v>
      </c>
      <c r="J13">
        <v>2133</v>
      </c>
      <c r="K13">
        <f t="shared" si="0"/>
        <v>-867</v>
      </c>
      <c r="L13" t="str">
        <f t="shared" si="1"/>
        <v>Underpriced</v>
      </c>
    </row>
    <row r="14" spans="1:12" x14ac:dyDescent="0.3">
      <c r="A14">
        <v>17</v>
      </c>
      <c r="B14" t="s">
        <v>23</v>
      </c>
      <c r="C14" t="s">
        <v>19</v>
      </c>
      <c r="D14">
        <v>1920</v>
      </c>
      <c r="E14">
        <v>1920</v>
      </c>
      <c r="F14">
        <v>1920</v>
      </c>
      <c r="G14">
        <v>16</v>
      </c>
      <c r="H14" s="2">
        <v>3.9725388601036289</v>
      </c>
      <c r="I14" s="1">
        <v>45572</v>
      </c>
      <c r="J14">
        <v>1920</v>
      </c>
      <c r="K14">
        <f t="shared" si="0"/>
        <v>0</v>
      </c>
      <c r="L14" t="str">
        <f t="shared" si="1"/>
        <v>Competitive</v>
      </c>
    </row>
    <row r="15" spans="1:12" x14ac:dyDescent="0.3">
      <c r="A15">
        <v>18</v>
      </c>
      <c r="B15" t="s">
        <v>23</v>
      </c>
      <c r="C15" t="s">
        <v>19</v>
      </c>
      <c r="D15">
        <v>5716</v>
      </c>
      <c r="E15">
        <v>5175</v>
      </c>
      <c r="F15">
        <v>5175</v>
      </c>
      <c r="G15">
        <v>143</v>
      </c>
      <c r="H15" s="2">
        <v>3.9725388601036289</v>
      </c>
      <c r="I15" s="1">
        <v>45571</v>
      </c>
      <c r="J15">
        <v>5175</v>
      </c>
      <c r="K15">
        <f t="shared" si="0"/>
        <v>541</v>
      </c>
      <c r="L15" t="str">
        <f t="shared" si="1"/>
        <v>Overpriced</v>
      </c>
    </row>
    <row r="16" spans="1:12" x14ac:dyDescent="0.3">
      <c r="A16">
        <v>19</v>
      </c>
      <c r="B16" t="s">
        <v>17</v>
      </c>
      <c r="C16" t="s">
        <v>14</v>
      </c>
      <c r="D16">
        <v>2244</v>
      </c>
      <c r="E16">
        <v>2244</v>
      </c>
      <c r="F16">
        <v>2244</v>
      </c>
      <c r="G16">
        <v>148</v>
      </c>
      <c r="H16" s="2">
        <v>3.9725388601036289</v>
      </c>
      <c r="I16" s="1">
        <v>45550</v>
      </c>
      <c r="J16">
        <v>2244</v>
      </c>
      <c r="K16">
        <f t="shared" si="0"/>
        <v>0</v>
      </c>
      <c r="L16" t="str">
        <f t="shared" si="1"/>
        <v>Competitive</v>
      </c>
    </row>
    <row r="17" spans="1:12" x14ac:dyDescent="0.3">
      <c r="A17">
        <v>20</v>
      </c>
      <c r="B17" t="s">
        <v>17</v>
      </c>
      <c r="C17" t="s">
        <v>16</v>
      </c>
      <c r="D17">
        <v>3773</v>
      </c>
      <c r="E17">
        <v>3773</v>
      </c>
      <c r="F17">
        <v>3773</v>
      </c>
      <c r="G17">
        <v>461</v>
      </c>
      <c r="H17" s="2">
        <v>3.4</v>
      </c>
      <c r="I17" s="1">
        <v>45557</v>
      </c>
      <c r="J17">
        <v>3773</v>
      </c>
      <c r="K17">
        <f t="shared" si="0"/>
        <v>0</v>
      </c>
      <c r="L17" t="str">
        <f t="shared" si="1"/>
        <v>Competitive</v>
      </c>
    </row>
    <row r="18" spans="1:12" x14ac:dyDescent="0.3">
      <c r="A18">
        <v>21</v>
      </c>
      <c r="B18" t="s">
        <v>17</v>
      </c>
      <c r="C18" t="s">
        <v>14</v>
      </c>
      <c r="D18">
        <v>1212.5</v>
      </c>
      <c r="E18">
        <v>1177</v>
      </c>
      <c r="F18">
        <v>1248</v>
      </c>
      <c r="G18">
        <v>284</v>
      </c>
      <c r="H18" s="2">
        <v>3.9725388601036289</v>
      </c>
      <c r="I18" s="1">
        <v>45590</v>
      </c>
      <c r="J18">
        <v>1212.5</v>
      </c>
      <c r="K18">
        <f t="shared" si="0"/>
        <v>0</v>
      </c>
      <c r="L18" t="str">
        <f t="shared" si="1"/>
        <v>Competitive</v>
      </c>
    </row>
    <row r="19" spans="1:12" x14ac:dyDescent="0.3">
      <c r="A19">
        <v>22</v>
      </c>
      <c r="B19" t="s">
        <v>25</v>
      </c>
      <c r="C19" t="s">
        <v>14</v>
      </c>
      <c r="D19">
        <v>1087</v>
      </c>
      <c r="E19">
        <v>1087</v>
      </c>
      <c r="F19">
        <v>1087</v>
      </c>
      <c r="G19">
        <v>150</v>
      </c>
      <c r="H19" s="2">
        <v>4.2</v>
      </c>
      <c r="I19" s="1">
        <v>45539</v>
      </c>
      <c r="J19">
        <v>1087</v>
      </c>
      <c r="K19">
        <f t="shared" si="0"/>
        <v>0</v>
      </c>
      <c r="L19" t="str">
        <f t="shared" si="1"/>
        <v>Competitive</v>
      </c>
    </row>
    <row r="20" spans="1:12" x14ac:dyDescent="0.3">
      <c r="A20">
        <v>23</v>
      </c>
      <c r="B20" t="s">
        <v>24</v>
      </c>
      <c r="C20" t="s">
        <v>10</v>
      </c>
      <c r="D20">
        <v>715</v>
      </c>
      <c r="E20">
        <v>715</v>
      </c>
      <c r="F20">
        <v>715</v>
      </c>
      <c r="G20">
        <v>35</v>
      </c>
      <c r="H20" s="2">
        <v>4</v>
      </c>
      <c r="I20" s="1">
        <v>45587</v>
      </c>
      <c r="J20">
        <v>715</v>
      </c>
      <c r="K20">
        <f t="shared" si="0"/>
        <v>0</v>
      </c>
      <c r="L20" t="str">
        <f t="shared" si="1"/>
        <v>Competitive</v>
      </c>
    </row>
    <row r="21" spans="1:12" x14ac:dyDescent="0.3">
      <c r="A21">
        <v>24</v>
      </c>
      <c r="B21" t="s">
        <v>15</v>
      </c>
      <c r="C21" t="s">
        <v>19</v>
      </c>
      <c r="D21">
        <v>783</v>
      </c>
      <c r="E21">
        <v>783</v>
      </c>
      <c r="F21">
        <v>783</v>
      </c>
      <c r="G21">
        <v>33</v>
      </c>
      <c r="H21" s="2">
        <v>4.8</v>
      </c>
      <c r="I21" s="1">
        <v>45552</v>
      </c>
      <c r="J21">
        <v>783</v>
      </c>
      <c r="K21">
        <f t="shared" si="0"/>
        <v>0</v>
      </c>
      <c r="L21" t="str">
        <f t="shared" si="1"/>
        <v>Competitive</v>
      </c>
    </row>
    <row r="22" spans="1:12" x14ac:dyDescent="0.3">
      <c r="A22">
        <v>25</v>
      </c>
      <c r="B22" t="s">
        <v>26</v>
      </c>
      <c r="C22" t="s">
        <v>14</v>
      </c>
      <c r="D22">
        <v>2235</v>
      </c>
      <c r="E22">
        <v>1575</v>
      </c>
      <c r="F22">
        <v>1575</v>
      </c>
      <c r="G22">
        <v>241</v>
      </c>
      <c r="H22" s="2">
        <v>3.9725388601036289</v>
      </c>
      <c r="I22" s="1">
        <v>45617</v>
      </c>
      <c r="J22">
        <v>1575</v>
      </c>
      <c r="K22">
        <f t="shared" si="0"/>
        <v>660</v>
      </c>
      <c r="L22" t="str">
        <f t="shared" si="1"/>
        <v>Overpriced</v>
      </c>
    </row>
    <row r="23" spans="1:12" x14ac:dyDescent="0.3">
      <c r="A23">
        <v>26</v>
      </c>
      <c r="B23" t="s">
        <v>24</v>
      </c>
      <c r="C23" t="s">
        <v>14</v>
      </c>
      <c r="D23">
        <v>4051.5</v>
      </c>
      <c r="E23">
        <v>4946</v>
      </c>
      <c r="F23">
        <v>3157</v>
      </c>
      <c r="G23">
        <v>348</v>
      </c>
      <c r="H23" s="2">
        <v>3.9725388601036289</v>
      </c>
      <c r="I23" s="1">
        <v>45564</v>
      </c>
      <c r="J23">
        <v>4051.5</v>
      </c>
      <c r="K23">
        <f t="shared" si="0"/>
        <v>0</v>
      </c>
      <c r="L23" t="str">
        <f t="shared" si="1"/>
        <v>Competitive</v>
      </c>
    </row>
    <row r="24" spans="1:12" x14ac:dyDescent="0.3">
      <c r="A24">
        <v>28</v>
      </c>
      <c r="B24" t="s">
        <v>27</v>
      </c>
      <c r="C24" t="s">
        <v>10</v>
      </c>
      <c r="D24">
        <v>3178</v>
      </c>
      <c r="E24">
        <v>5604</v>
      </c>
      <c r="F24">
        <v>752</v>
      </c>
      <c r="G24">
        <v>390</v>
      </c>
      <c r="H24" s="2">
        <v>3.9725388601036289</v>
      </c>
      <c r="I24" s="1">
        <v>45577</v>
      </c>
      <c r="J24">
        <v>3178</v>
      </c>
      <c r="K24">
        <f t="shared" si="0"/>
        <v>0</v>
      </c>
      <c r="L24" t="str">
        <f t="shared" si="1"/>
        <v>Competitive</v>
      </c>
    </row>
    <row r="25" spans="1:12" x14ac:dyDescent="0.3">
      <c r="A25">
        <v>29</v>
      </c>
      <c r="B25" t="s">
        <v>20</v>
      </c>
      <c r="C25" t="s">
        <v>16</v>
      </c>
      <c r="D25">
        <v>4825.5</v>
      </c>
      <c r="E25">
        <v>3702</v>
      </c>
      <c r="F25">
        <v>5949</v>
      </c>
      <c r="G25">
        <v>193</v>
      </c>
      <c r="H25" s="2">
        <v>3.9725388601036289</v>
      </c>
      <c r="I25" s="1">
        <v>45595</v>
      </c>
      <c r="J25">
        <v>4825.5</v>
      </c>
      <c r="K25">
        <f t="shared" si="0"/>
        <v>0</v>
      </c>
      <c r="L25" t="str">
        <f t="shared" si="1"/>
        <v>Competitive</v>
      </c>
    </row>
    <row r="26" spans="1:12" x14ac:dyDescent="0.3">
      <c r="A26">
        <v>30</v>
      </c>
      <c r="B26" t="s">
        <v>24</v>
      </c>
      <c r="C26" t="s">
        <v>14</v>
      </c>
      <c r="D26">
        <v>1480.5</v>
      </c>
      <c r="E26">
        <v>372</v>
      </c>
      <c r="F26">
        <v>2589</v>
      </c>
      <c r="G26">
        <v>499</v>
      </c>
      <c r="H26" s="2">
        <v>4</v>
      </c>
      <c r="I26" s="1">
        <v>45537</v>
      </c>
      <c r="J26">
        <v>1480.5</v>
      </c>
      <c r="K26">
        <f t="shared" si="0"/>
        <v>0</v>
      </c>
      <c r="L26" t="str">
        <f t="shared" si="1"/>
        <v>Competitive</v>
      </c>
    </row>
    <row r="27" spans="1:12" x14ac:dyDescent="0.3">
      <c r="A27">
        <v>31</v>
      </c>
      <c r="B27" t="s">
        <v>28</v>
      </c>
      <c r="C27" t="s">
        <v>19</v>
      </c>
      <c r="D27">
        <v>2706</v>
      </c>
      <c r="E27">
        <v>2690</v>
      </c>
      <c r="F27">
        <v>1846</v>
      </c>
      <c r="G27">
        <v>201</v>
      </c>
      <c r="H27" s="2">
        <v>3.3</v>
      </c>
      <c r="I27" s="1">
        <v>45543</v>
      </c>
      <c r="J27">
        <v>2268</v>
      </c>
      <c r="K27">
        <f t="shared" si="0"/>
        <v>438</v>
      </c>
      <c r="L27" t="str">
        <f t="shared" si="1"/>
        <v>Overpriced</v>
      </c>
    </row>
    <row r="28" spans="1:12" x14ac:dyDescent="0.3">
      <c r="A28">
        <v>32</v>
      </c>
      <c r="B28" t="s">
        <v>18</v>
      </c>
      <c r="C28" t="s">
        <v>16</v>
      </c>
      <c r="D28">
        <v>2735</v>
      </c>
      <c r="E28">
        <v>2735</v>
      </c>
      <c r="F28">
        <v>2735</v>
      </c>
      <c r="G28">
        <v>218</v>
      </c>
      <c r="H28" s="2">
        <v>3.4</v>
      </c>
      <c r="I28" s="1">
        <v>45588</v>
      </c>
      <c r="J28">
        <v>2735</v>
      </c>
      <c r="K28">
        <f t="shared" si="0"/>
        <v>0</v>
      </c>
      <c r="L28" t="str">
        <f t="shared" si="1"/>
        <v>Competitive</v>
      </c>
    </row>
    <row r="29" spans="1:12" x14ac:dyDescent="0.3">
      <c r="A29">
        <v>33</v>
      </c>
      <c r="B29" t="s">
        <v>29</v>
      </c>
      <c r="C29" t="s">
        <v>16</v>
      </c>
      <c r="D29">
        <v>5167</v>
      </c>
      <c r="E29">
        <v>5167</v>
      </c>
      <c r="F29">
        <v>5167</v>
      </c>
      <c r="G29">
        <v>457</v>
      </c>
      <c r="H29" s="2">
        <v>3.9725388601036289</v>
      </c>
      <c r="I29" s="1">
        <v>45544</v>
      </c>
      <c r="J29">
        <v>5167</v>
      </c>
      <c r="K29">
        <f t="shared" si="0"/>
        <v>0</v>
      </c>
      <c r="L29" t="str">
        <f t="shared" si="1"/>
        <v>Competitive</v>
      </c>
    </row>
    <row r="30" spans="1:12" x14ac:dyDescent="0.3">
      <c r="A30">
        <v>34</v>
      </c>
      <c r="B30" t="s">
        <v>20</v>
      </c>
      <c r="C30" t="s">
        <v>12</v>
      </c>
      <c r="D30">
        <v>2340</v>
      </c>
      <c r="E30">
        <v>983</v>
      </c>
      <c r="F30">
        <v>5436</v>
      </c>
      <c r="G30">
        <v>450</v>
      </c>
      <c r="H30" s="2">
        <v>3.9</v>
      </c>
      <c r="I30" s="1">
        <v>45549</v>
      </c>
      <c r="J30">
        <v>3209.5</v>
      </c>
      <c r="K30">
        <f t="shared" si="0"/>
        <v>-869.5</v>
      </c>
      <c r="L30" t="str">
        <f t="shared" si="1"/>
        <v>Underpriced</v>
      </c>
    </row>
    <row r="31" spans="1:12" x14ac:dyDescent="0.3">
      <c r="A31">
        <v>35</v>
      </c>
      <c r="B31" t="s">
        <v>29</v>
      </c>
      <c r="C31" t="s">
        <v>16</v>
      </c>
      <c r="D31">
        <v>2653</v>
      </c>
      <c r="E31">
        <v>2653</v>
      </c>
      <c r="F31">
        <v>2653</v>
      </c>
      <c r="G31">
        <v>207</v>
      </c>
      <c r="H31" s="2">
        <v>3.2</v>
      </c>
      <c r="I31" s="1">
        <v>45551</v>
      </c>
      <c r="J31">
        <v>2653</v>
      </c>
      <c r="K31">
        <f t="shared" si="0"/>
        <v>0</v>
      </c>
      <c r="L31" t="str">
        <f t="shared" si="1"/>
        <v>Competitive</v>
      </c>
    </row>
    <row r="32" spans="1:12" x14ac:dyDescent="0.3">
      <c r="A32">
        <v>37</v>
      </c>
      <c r="B32" t="s">
        <v>27</v>
      </c>
      <c r="C32" t="s">
        <v>19</v>
      </c>
      <c r="D32">
        <v>1789</v>
      </c>
      <c r="E32">
        <v>1858</v>
      </c>
      <c r="F32">
        <v>3467</v>
      </c>
      <c r="G32">
        <v>430</v>
      </c>
      <c r="H32" s="2">
        <v>4.7</v>
      </c>
      <c r="I32" s="1">
        <v>45614</v>
      </c>
      <c r="J32">
        <v>2662.5</v>
      </c>
      <c r="K32">
        <f t="shared" si="0"/>
        <v>-873.5</v>
      </c>
      <c r="L32" t="str">
        <f t="shared" si="1"/>
        <v>Underpriced</v>
      </c>
    </row>
    <row r="33" spans="1:12" x14ac:dyDescent="0.3">
      <c r="A33">
        <v>38</v>
      </c>
      <c r="B33" t="s">
        <v>30</v>
      </c>
      <c r="C33" t="s">
        <v>12</v>
      </c>
      <c r="D33">
        <v>3215</v>
      </c>
      <c r="E33">
        <v>3215</v>
      </c>
      <c r="F33">
        <v>3215</v>
      </c>
      <c r="G33">
        <v>341</v>
      </c>
      <c r="H33" s="2">
        <v>3.9725388601036289</v>
      </c>
      <c r="I33" s="1">
        <v>45607</v>
      </c>
      <c r="J33">
        <v>3215</v>
      </c>
      <c r="K33">
        <f t="shared" si="0"/>
        <v>0</v>
      </c>
      <c r="L33" t="str">
        <f t="shared" si="1"/>
        <v>Competitive</v>
      </c>
    </row>
    <row r="34" spans="1:12" x14ac:dyDescent="0.3">
      <c r="A34">
        <v>39</v>
      </c>
      <c r="B34" t="s">
        <v>21</v>
      </c>
      <c r="C34" t="s">
        <v>14</v>
      </c>
      <c r="D34">
        <v>5263</v>
      </c>
      <c r="E34">
        <v>376</v>
      </c>
      <c r="F34">
        <v>376</v>
      </c>
      <c r="G34">
        <v>309</v>
      </c>
      <c r="H34" s="2">
        <v>3.9725388601036289</v>
      </c>
      <c r="I34" s="1">
        <v>45606</v>
      </c>
      <c r="J34">
        <v>376</v>
      </c>
      <c r="K34">
        <f t="shared" si="0"/>
        <v>4887</v>
      </c>
      <c r="L34" t="str">
        <f t="shared" si="1"/>
        <v>Overpriced</v>
      </c>
    </row>
    <row r="35" spans="1:12" x14ac:dyDescent="0.3">
      <c r="A35">
        <v>41</v>
      </c>
      <c r="B35" t="s">
        <v>20</v>
      </c>
      <c r="C35" t="s">
        <v>12</v>
      </c>
      <c r="D35">
        <v>5692</v>
      </c>
      <c r="E35">
        <v>5692</v>
      </c>
      <c r="F35">
        <v>5692</v>
      </c>
      <c r="G35">
        <v>55</v>
      </c>
      <c r="H35" s="2">
        <v>4.0999999999999996</v>
      </c>
      <c r="I35" s="1">
        <v>45554</v>
      </c>
      <c r="J35">
        <v>5692</v>
      </c>
      <c r="K35">
        <f t="shared" si="0"/>
        <v>0</v>
      </c>
      <c r="L35" t="str">
        <f t="shared" si="1"/>
        <v>Competitive</v>
      </c>
    </row>
    <row r="36" spans="1:12" x14ac:dyDescent="0.3">
      <c r="A36">
        <v>42</v>
      </c>
      <c r="B36" t="s">
        <v>20</v>
      </c>
      <c r="C36" t="s">
        <v>16</v>
      </c>
      <c r="D36">
        <v>5547</v>
      </c>
      <c r="E36">
        <v>5208</v>
      </c>
      <c r="F36">
        <v>5208</v>
      </c>
      <c r="G36">
        <v>468</v>
      </c>
      <c r="H36" s="2">
        <v>3.8</v>
      </c>
      <c r="I36" s="1">
        <v>45540</v>
      </c>
      <c r="J36">
        <v>5208</v>
      </c>
      <c r="K36">
        <f t="shared" si="0"/>
        <v>339</v>
      </c>
      <c r="L36" t="str">
        <f t="shared" si="1"/>
        <v>Overpriced</v>
      </c>
    </row>
    <row r="37" spans="1:12" x14ac:dyDescent="0.3">
      <c r="A37">
        <v>43</v>
      </c>
      <c r="B37" t="s">
        <v>31</v>
      </c>
      <c r="C37" t="s">
        <v>14</v>
      </c>
      <c r="D37">
        <v>5184</v>
      </c>
      <c r="E37">
        <v>1429</v>
      </c>
      <c r="F37">
        <v>3411</v>
      </c>
      <c r="G37">
        <v>334</v>
      </c>
      <c r="H37" s="2">
        <v>3.9725388601036289</v>
      </c>
      <c r="I37" s="1">
        <v>45568</v>
      </c>
      <c r="J37">
        <v>2420</v>
      </c>
      <c r="K37">
        <f t="shared" si="0"/>
        <v>2764</v>
      </c>
      <c r="L37" t="str">
        <f t="shared" si="1"/>
        <v>Overpriced</v>
      </c>
    </row>
    <row r="38" spans="1:12" x14ac:dyDescent="0.3">
      <c r="A38">
        <v>46</v>
      </c>
      <c r="B38" t="s">
        <v>23</v>
      </c>
      <c r="C38" t="s">
        <v>12</v>
      </c>
      <c r="D38">
        <v>4411</v>
      </c>
      <c r="E38">
        <v>4411</v>
      </c>
      <c r="F38">
        <v>4411</v>
      </c>
      <c r="G38">
        <v>204</v>
      </c>
      <c r="H38" s="2">
        <v>4.3</v>
      </c>
      <c r="I38" s="1">
        <v>45596</v>
      </c>
      <c r="J38">
        <v>4411</v>
      </c>
      <c r="K38">
        <f t="shared" si="0"/>
        <v>0</v>
      </c>
      <c r="L38" t="str">
        <f t="shared" si="1"/>
        <v>Competitive</v>
      </c>
    </row>
    <row r="39" spans="1:12" x14ac:dyDescent="0.3">
      <c r="A39">
        <v>47</v>
      </c>
      <c r="B39" t="s">
        <v>23</v>
      </c>
      <c r="C39" t="s">
        <v>12</v>
      </c>
      <c r="D39">
        <v>4501</v>
      </c>
      <c r="E39">
        <v>3191</v>
      </c>
      <c r="F39">
        <v>3514</v>
      </c>
      <c r="G39">
        <v>75</v>
      </c>
      <c r="H39" s="2">
        <v>3.8</v>
      </c>
      <c r="I39" s="1">
        <v>45547</v>
      </c>
      <c r="J39">
        <v>3352.5</v>
      </c>
      <c r="K39">
        <f t="shared" si="0"/>
        <v>1148.5</v>
      </c>
      <c r="L39" t="str">
        <f t="shared" si="1"/>
        <v>Overpriced</v>
      </c>
    </row>
    <row r="40" spans="1:12" x14ac:dyDescent="0.3">
      <c r="A40">
        <v>49</v>
      </c>
      <c r="B40" t="s">
        <v>23</v>
      </c>
      <c r="C40" t="s">
        <v>19</v>
      </c>
      <c r="D40">
        <v>5052</v>
      </c>
      <c r="E40">
        <v>3544</v>
      </c>
      <c r="F40">
        <v>5550</v>
      </c>
      <c r="G40">
        <v>181</v>
      </c>
      <c r="H40" s="2">
        <v>4.4000000000000004</v>
      </c>
      <c r="I40" s="1">
        <v>45592</v>
      </c>
      <c r="J40">
        <v>4547</v>
      </c>
      <c r="K40">
        <f t="shared" si="0"/>
        <v>505</v>
      </c>
      <c r="L40" t="str">
        <f t="shared" si="1"/>
        <v>Overpriced</v>
      </c>
    </row>
    <row r="41" spans="1:12" x14ac:dyDescent="0.3">
      <c r="A41">
        <v>52</v>
      </c>
      <c r="B41" t="s">
        <v>18</v>
      </c>
      <c r="C41" t="s">
        <v>14</v>
      </c>
      <c r="D41">
        <v>3009</v>
      </c>
      <c r="E41">
        <v>1476</v>
      </c>
      <c r="F41">
        <v>1476</v>
      </c>
      <c r="G41">
        <v>421</v>
      </c>
      <c r="H41" s="2">
        <v>4</v>
      </c>
      <c r="I41" s="1">
        <v>45603</v>
      </c>
      <c r="J41">
        <v>1476</v>
      </c>
      <c r="K41">
        <f t="shared" si="0"/>
        <v>1533</v>
      </c>
      <c r="L41" t="str">
        <f t="shared" si="1"/>
        <v>Overpriced</v>
      </c>
    </row>
    <row r="42" spans="1:12" x14ac:dyDescent="0.3">
      <c r="A42">
        <v>54</v>
      </c>
      <c r="B42" t="s">
        <v>15</v>
      </c>
      <c r="C42" t="s">
        <v>19</v>
      </c>
      <c r="D42">
        <v>2792</v>
      </c>
      <c r="E42">
        <v>2921</v>
      </c>
      <c r="F42">
        <v>2663</v>
      </c>
      <c r="G42">
        <v>56</v>
      </c>
      <c r="H42" s="2">
        <v>3.4</v>
      </c>
      <c r="I42" s="1">
        <v>45579</v>
      </c>
      <c r="J42">
        <v>2792</v>
      </c>
      <c r="K42">
        <f t="shared" si="0"/>
        <v>0</v>
      </c>
      <c r="L42" t="str">
        <f t="shared" si="1"/>
        <v>Competitive</v>
      </c>
    </row>
    <row r="43" spans="1:12" x14ac:dyDescent="0.3">
      <c r="A43">
        <v>55</v>
      </c>
      <c r="B43" t="s">
        <v>30</v>
      </c>
      <c r="C43" t="s">
        <v>16</v>
      </c>
      <c r="D43">
        <v>1192</v>
      </c>
      <c r="E43">
        <v>1192</v>
      </c>
      <c r="F43">
        <v>1192</v>
      </c>
      <c r="G43">
        <v>411</v>
      </c>
      <c r="H43" s="2">
        <v>3.6</v>
      </c>
      <c r="I43" s="1">
        <v>45607</v>
      </c>
      <c r="J43">
        <v>1192</v>
      </c>
      <c r="K43">
        <f t="shared" si="0"/>
        <v>0</v>
      </c>
      <c r="L43" t="str">
        <f t="shared" si="1"/>
        <v>Competitive</v>
      </c>
    </row>
    <row r="44" spans="1:12" x14ac:dyDescent="0.3">
      <c r="A44">
        <v>56</v>
      </c>
      <c r="B44" t="s">
        <v>9</v>
      </c>
      <c r="C44" t="s">
        <v>14</v>
      </c>
      <c r="D44">
        <v>1686</v>
      </c>
      <c r="E44">
        <v>1721</v>
      </c>
      <c r="F44">
        <v>1721</v>
      </c>
      <c r="G44">
        <v>474</v>
      </c>
      <c r="H44" s="2">
        <v>3.9725388601036289</v>
      </c>
      <c r="I44" s="1">
        <v>45589</v>
      </c>
      <c r="J44">
        <v>1721</v>
      </c>
      <c r="K44">
        <f t="shared" si="0"/>
        <v>-35</v>
      </c>
      <c r="L44" t="str">
        <f t="shared" si="1"/>
        <v>Competitive</v>
      </c>
    </row>
    <row r="45" spans="1:12" x14ac:dyDescent="0.3">
      <c r="A45">
        <v>57</v>
      </c>
      <c r="B45" t="s">
        <v>33</v>
      </c>
      <c r="C45" t="s">
        <v>19</v>
      </c>
      <c r="D45">
        <v>634</v>
      </c>
      <c r="E45">
        <v>2460</v>
      </c>
      <c r="F45">
        <v>2460</v>
      </c>
      <c r="G45">
        <v>287</v>
      </c>
      <c r="H45" s="2">
        <v>3.9725388601036289</v>
      </c>
      <c r="I45" s="1">
        <v>45551</v>
      </c>
      <c r="J45">
        <v>2460</v>
      </c>
      <c r="K45">
        <f t="shared" si="0"/>
        <v>-1826</v>
      </c>
      <c r="L45" t="str">
        <f t="shared" si="1"/>
        <v>Underpriced</v>
      </c>
    </row>
    <row r="46" spans="1:12" x14ac:dyDescent="0.3">
      <c r="A46">
        <v>58</v>
      </c>
      <c r="B46" t="s">
        <v>11</v>
      </c>
      <c r="C46" t="s">
        <v>16</v>
      </c>
      <c r="D46">
        <v>1341</v>
      </c>
      <c r="E46">
        <v>4775</v>
      </c>
      <c r="F46">
        <v>4775</v>
      </c>
      <c r="G46">
        <v>399</v>
      </c>
      <c r="H46" s="2">
        <v>3.9725388601036289</v>
      </c>
      <c r="I46" s="1">
        <v>45560</v>
      </c>
      <c r="J46">
        <v>4775</v>
      </c>
      <c r="K46">
        <f t="shared" si="0"/>
        <v>-3434</v>
      </c>
      <c r="L46" t="str">
        <f t="shared" si="1"/>
        <v>Underpriced</v>
      </c>
    </row>
    <row r="47" spans="1:12" x14ac:dyDescent="0.3">
      <c r="A47">
        <v>59</v>
      </c>
      <c r="B47" t="s">
        <v>28</v>
      </c>
      <c r="C47" t="s">
        <v>12</v>
      </c>
      <c r="D47">
        <v>3290</v>
      </c>
      <c r="E47">
        <v>3290</v>
      </c>
      <c r="F47">
        <v>3290</v>
      </c>
      <c r="G47">
        <v>72</v>
      </c>
      <c r="H47" s="2">
        <v>3.7</v>
      </c>
      <c r="I47" s="1">
        <v>45561</v>
      </c>
      <c r="J47">
        <v>3290</v>
      </c>
      <c r="K47">
        <f t="shared" si="0"/>
        <v>0</v>
      </c>
      <c r="L47" t="str">
        <f t="shared" si="1"/>
        <v>Competitive</v>
      </c>
    </row>
    <row r="48" spans="1:12" x14ac:dyDescent="0.3">
      <c r="A48">
        <v>60</v>
      </c>
      <c r="B48" t="s">
        <v>11</v>
      </c>
      <c r="C48" t="s">
        <v>12</v>
      </c>
      <c r="D48">
        <v>3742</v>
      </c>
      <c r="E48">
        <v>333</v>
      </c>
      <c r="F48">
        <v>333</v>
      </c>
      <c r="G48">
        <v>143</v>
      </c>
      <c r="H48" s="2">
        <v>3.2</v>
      </c>
      <c r="I48" s="1">
        <v>45601</v>
      </c>
      <c r="J48">
        <v>333</v>
      </c>
      <c r="K48">
        <f t="shared" si="0"/>
        <v>3409</v>
      </c>
      <c r="L48" t="str">
        <f t="shared" si="1"/>
        <v>Overpriced</v>
      </c>
    </row>
    <row r="49" spans="1:12" x14ac:dyDescent="0.3">
      <c r="A49">
        <v>61</v>
      </c>
      <c r="B49" t="s">
        <v>32</v>
      </c>
      <c r="C49" t="s">
        <v>19</v>
      </c>
      <c r="D49">
        <v>2649</v>
      </c>
      <c r="E49">
        <v>2649</v>
      </c>
      <c r="F49">
        <v>2649</v>
      </c>
      <c r="G49">
        <v>87</v>
      </c>
      <c r="H49" s="2">
        <v>4</v>
      </c>
      <c r="I49" s="1">
        <v>45584</v>
      </c>
      <c r="J49">
        <v>2649</v>
      </c>
      <c r="K49">
        <f t="shared" si="0"/>
        <v>0</v>
      </c>
      <c r="L49" t="str">
        <f t="shared" si="1"/>
        <v>Competitive</v>
      </c>
    </row>
    <row r="50" spans="1:12" x14ac:dyDescent="0.3">
      <c r="A50">
        <v>62</v>
      </c>
      <c r="B50" t="s">
        <v>30</v>
      </c>
      <c r="C50" t="s">
        <v>12</v>
      </c>
      <c r="D50">
        <v>3962</v>
      </c>
      <c r="E50">
        <v>2948</v>
      </c>
      <c r="F50">
        <v>4976</v>
      </c>
      <c r="G50">
        <v>329</v>
      </c>
      <c r="H50" s="2">
        <v>4.4000000000000004</v>
      </c>
      <c r="I50" s="1">
        <v>45585</v>
      </c>
      <c r="J50">
        <v>3962</v>
      </c>
      <c r="K50">
        <f t="shared" si="0"/>
        <v>0</v>
      </c>
      <c r="L50" t="str">
        <f t="shared" si="1"/>
        <v>Competitive</v>
      </c>
    </row>
    <row r="51" spans="1:12" x14ac:dyDescent="0.3">
      <c r="A51">
        <v>63</v>
      </c>
      <c r="B51" t="s">
        <v>21</v>
      </c>
      <c r="C51" t="s">
        <v>14</v>
      </c>
      <c r="D51">
        <v>1119</v>
      </c>
      <c r="E51">
        <v>678</v>
      </c>
      <c r="F51">
        <v>1560</v>
      </c>
      <c r="G51">
        <v>26</v>
      </c>
      <c r="H51" s="2">
        <v>4.7</v>
      </c>
      <c r="I51" s="1">
        <v>45578</v>
      </c>
      <c r="J51">
        <v>1119</v>
      </c>
      <c r="K51">
        <f t="shared" si="0"/>
        <v>0</v>
      </c>
      <c r="L51" t="str">
        <f t="shared" si="1"/>
        <v>Competitive</v>
      </c>
    </row>
    <row r="52" spans="1:12" x14ac:dyDescent="0.3">
      <c r="A52">
        <v>64</v>
      </c>
      <c r="B52" t="s">
        <v>30</v>
      </c>
      <c r="C52" t="s">
        <v>12</v>
      </c>
      <c r="D52">
        <v>3312</v>
      </c>
      <c r="E52">
        <v>5644</v>
      </c>
      <c r="F52">
        <v>2617</v>
      </c>
      <c r="G52">
        <v>261</v>
      </c>
      <c r="H52" s="2">
        <v>3.1</v>
      </c>
      <c r="I52" s="1">
        <v>45594</v>
      </c>
      <c r="J52">
        <v>4130.5</v>
      </c>
      <c r="K52">
        <f t="shared" si="0"/>
        <v>-818.5</v>
      </c>
      <c r="L52" t="str">
        <f t="shared" si="1"/>
        <v>Underpriced</v>
      </c>
    </row>
    <row r="53" spans="1:12" x14ac:dyDescent="0.3">
      <c r="A53">
        <v>65</v>
      </c>
      <c r="B53" t="s">
        <v>24</v>
      </c>
      <c r="C53" t="s">
        <v>10</v>
      </c>
      <c r="D53">
        <v>264</v>
      </c>
      <c r="E53">
        <v>264</v>
      </c>
      <c r="F53">
        <v>264</v>
      </c>
      <c r="G53">
        <v>232</v>
      </c>
      <c r="H53" s="2">
        <v>3.9725388601036289</v>
      </c>
      <c r="I53" s="1">
        <v>45542</v>
      </c>
      <c r="J53">
        <v>264</v>
      </c>
      <c r="K53">
        <f t="shared" si="0"/>
        <v>0</v>
      </c>
      <c r="L53" t="str">
        <f t="shared" si="1"/>
        <v>Competitive</v>
      </c>
    </row>
    <row r="54" spans="1:12" x14ac:dyDescent="0.3">
      <c r="A54">
        <v>66</v>
      </c>
      <c r="B54" t="s">
        <v>32</v>
      </c>
      <c r="C54" t="s">
        <v>12</v>
      </c>
      <c r="D54">
        <v>5730</v>
      </c>
      <c r="E54">
        <v>3532</v>
      </c>
      <c r="F54">
        <v>3532</v>
      </c>
      <c r="G54">
        <v>364</v>
      </c>
      <c r="H54" s="2">
        <v>3.9725388601036289</v>
      </c>
      <c r="I54" s="1">
        <v>45542</v>
      </c>
      <c r="J54">
        <v>3532</v>
      </c>
      <c r="K54">
        <f t="shared" si="0"/>
        <v>2198</v>
      </c>
      <c r="L54" t="str">
        <f t="shared" si="1"/>
        <v>Overpriced</v>
      </c>
    </row>
    <row r="55" spans="1:12" x14ac:dyDescent="0.3">
      <c r="A55">
        <v>67</v>
      </c>
      <c r="B55" t="s">
        <v>15</v>
      </c>
      <c r="C55" t="s">
        <v>19</v>
      </c>
      <c r="D55">
        <v>1688</v>
      </c>
      <c r="E55">
        <v>1688</v>
      </c>
      <c r="F55">
        <v>1688</v>
      </c>
      <c r="G55">
        <v>188</v>
      </c>
      <c r="H55" s="2">
        <v>3.5</v>
      </c>
      <c r="I55" s="1">
        <v>45587</v>
      </c>
      <c r="J55">
        <v>1688</v>
      </c>
      <c r="K55">
        <f t="shared" si="0"/>
        <v>0</v>
      </c>
      <c r="L55" t="str">
        <f t="shared" si="1"/>
        <v>Competitive</v>
      </c>
    </row>
    <row r="56" spans="1:12" x14ac:dyDescent="0.3">
      <c r="A56">
        <v>68</v>
      </c>
      <c r="B56" t="s">
        <v>9</v>
      </c>
      <c r="C56" t="s">
        <v>14</v>
      </c>
      <c r="D56">
        <v>964</v>
      </c>
      <c r="E56">
        <v>2369</v>
      </c>
      <c r="F56">
        <v>2369</v>
      </c>
      <c r="G56">
        <v>196</v>
      </c>
      <c r="H56" s="2">
        <v>3.9725388601036289</v>
      </c>
      <c r="I56" s="1">
        <v>45577</v>
      </c>
      <c r="J56">
        <v>2369</v>
      </c>
      <c r="K56">
        <f t="shared" si="0"/>
        <v>-1405</v>
      </c>
      <c r="L56" t="str">
        <f t="shared" si="1"/>
        <v>Underpriced</v>
      </c>
    </row>
    <row r="57" spans="1:12" x14ac:dyDescent="0.3">
      <c r="A57">
        <v>69</v>
      </c>
      <c r="B57" t="s">
        <v>28</v>
      </c>
      <c r="C57" t="s">
        <v>12</v>
      </c>
      <c r="D57">
        <v>1855</v>
      </c>
      <c r="E57">
        <v>1855</v>
      </c>
      <c r="F57">
        <v>1855</v>
      </c>
      <c r="G57">
        <v>118</v>
      </c>
      <c r="H57" s="2">
        <v>3.9725388601036289</v>
      </c>
      <c r="I57" s="1">
        <v>45615</v>
      </c>
      <c r="J57">
        <v>1855</v>
      </c>
      <c r="K57">
        <f t="shared" si="0"/>
        <v>0</v>
      </c>
      <c r="L57" t="str">
        <f t="shared" si="1"/>
        <v>Competitive</v>
      </c>
    </row>
    <row r="58" spans="1:12" x14ac:dyDescent="0.3">
      <c r="A58">
        <v>70</v>
      </c>
      <c r="B58" t="s">
        <v>31</v>
      </c>
      <c r="C58" t="s">
        <v>10</v>
      </c>
      <c r="D58">
        <v>5189</v>
      </c>
      <c r="E58">
        <v>5642</v>
      </c>
      <c r="F58">
        <v>5642</v>
      </c>
      <c r="G58">
        <v>207</v>
      </c>
      <c r="H58" s="2">
        <v>3.9725388601036289</v>
      </c>
      <c r="I58" s="1">
        <v>45597</v>
      </c>
      <c r="J58">
        <v>5642</v>
      </c>
      <c r="K58">
        <f t="shared" si="0"/>
        <v>-453</v>
      </c>
      <c r="L58" t="str">
        <f t="shared" si="1"/>
        <v>Underpriced</v>
      </c>
    </row>
    <row r="59" spans="1:12" x14ac:dyDescent="0.3">
      <c r="A59">
        <v>72</v>
      </c>
      <c r="B59" t="s">
        <v>31</v>
      </c>
      <c r="C59" t="s">
        <v>12</v>
      </c>
      <c r="D59">
        <v>235</v>
      </c>
      <c r="E59">
        <v>235</v>
      </c>
      <c r="F59">
        <v>235</v>
      </c>
      <c r="G59">
        <v>2</v>
      </c>
      <c r="H59" s="2">
        <v>3.9725388601036289</v>
      </c>
      <c r="I59" s="1">
        <v>45553</v>
      </c>
      <c r="J59">
        <v>235</v>
      </c>
      <c r="K59">
        <f t="shared" si="0"/>
        <v>0</v>
      </c>
      <c r="L59" t="str">
        <f t="shared" si="1"/>
        <v>Competitive</v>
      </c>
    </row>
    <row r="60" spans="1:12" x14ac:dyDescent="0.3">
      <c r="A60">
        <v>73</v>
      </c>
      <c r="B60" t="s">
        <v>26</v>
      </c>
      <c r="C60" t="s">
        <v>16</v>
      </c>
      <c r="D60">
        <v>4009</v>
      </c>
      <c r="E60">
        <v>2237</v>
      </c>
      <c r="F60">
        <v>2237</v>
      </c>
      <c r="G60">
        <v>132</v>
      </c>
      <c r="H60" s="2">
        <v>3.9725388601036289</v>
      </c>
      <c r="I60" s="1">
        <v>45601</v>
      </c>
      <c r="J60">
        <v>2237</v>
      </c>
      <c r="K60">
        <f t="shared" si="0"/>
        <v>1772</v>
      </c>
      <c r="L60" t="str">
        <f t="shared" si="1"/>
        <v>Overpriced</v>
      </c>
    </row>
    <row r="61" spans="1:12" x14ac:dyDescent="0.3">
      <c r="A61">
        <v>74</v>
      </c>
      <c r="B61" t="s">
        <v>22</v>
      </c>
      <c r="C61" t="s">
        <v>10</v>
      </c>
      <c r="D61">
        <v>5761</v>
      </c>
      <c r="E61">
        <v>5940</v>
      </c>
      <c r="F61">
        <v>5582</v>
      </c>
      <c r="G61">
        <v>20</v>
      </c>
      <c r="H61" s="2">
        <v>4.0999999999999996</v>
      </c>
      <c r="I61" s="1">
        <v>45568</v>
      </c>
      <c r="J61">
        <v>5761</v>
      </c>
      <c r="K61">
        <f t="shared" si="0"/>
        <v>0</v>
      </c>
      <c r="L61" t="str">
        <f t="shared" si="1"/>
        <v>Competitive</v>
      </c>
    </row>
    <row r="62" spans="1:12" x14ac:dyDescent="0.3">
      <c r="A62">
        <v>75</v>
      </c>
      <c r="B62" t="s">
        <v>24</v>
      </c>
      <c r="C62" t="s">
        <v>12</v>
      </c>
      <c r="D62">
        <v>1338</v>
      </c>
      <c r="E62">
        <v>5878</v>
      </c>
      <c r="F62">
        <v>5878</v>
      </c>
      <c r="G62">
        <v>276</v>
      </c>
      <c r="H62" s="2">
        <v>3.8</v>
      </c>
      <c r="I62" s="1">
        <v>45620</v>
      </c>
      <c r="J62">
        <v>5878</v>
      </c>
      <c r="K62">
        <f t="shared" si="0"/>
        <v>-4540</v>
      </c>
      <c r="L62" t="str">
        <f t="shared" si="1"/>
        <v>Underpriced</v>
      </c>
    </row>
    <row r="63" spans="1:12" x14ac:dyDescent="0.3">
      <c r="A63">
        <v>77</v>
      </c>
      <c r="B63" t="s">
        <v>11</v>
      </c>
      <c r="C63" t="s">
        <v>12</v>
      </c>
      <c r="D63">
        <v>4689</v>
      </c>
      <c r="E63">
        <v>4689</v>
      </c>
      <c r="F63">
        <v>4689</v>
      </c>
      <c r="G63">
        <v>138</v>
      </c>
      <c r="H63" s="2">
        <v>3.9725388601036289</v>
      </c>
      <c r="I63" s="1">
        <v>45621</v>
      </c>
      <c r="J63">
        <v>4689</v>
      </c>
      <c r="K63">
        <f t="shared" si="0"/>
        <v>0</v>
      </c>
      <c r="L63" t="str">
        <f t="shared" si="1"/>
        <v>Competitive</v>
      </c>
    </row>
    <row r="64" spans="1:12" x14ac:dyDescent="0.3">
      <c r="A64">
        <v>78</v>
      </c>
      <c r="B64" t="s">
        <v>17</v>
      </c>
      <c r="C64" t="s">
        <v>14</v>
      </c>
      <c r="D64">
        <v>3284</v>
      </c>
      <c r="E64">
        <v>2490</v>
      </c>
      <c r="F64">
        <v>2490</v>
      </c>
      <c r="G64">
        <v>320</v>
      </c>
      <c r="H64" s="2">
        <v>4.2</v>
      </c>
      <c r="I64" s="1">
        <v>45537</v>
      </c>
      <c r="J64">
        <v>2490</v>
      </c>
      <c r="K64">
        <f t="shared" si="0"/>
        <v>794</v>
      </c>
      <c r="L64" t="str">
        <f t="shared" si="1"/>
        <v>Overpriced</v>
      </c>
    </row>
    <row r="65" spans="1:12" x14ac:dyDescent="0.3">
      <c r="A65">
        <v>79</v>
      </c>
      <c r="B65" t="s">
        <v>24</v>
      </c>
      <c r="C65" t="s">
        <v>10</v>
      </c>
      <c r="D65">
        <v>1567</v>
      </c>
      <c r="E65">
        <v>1567</v>
      </c>
      <c r="F65">
        <v>1567</v>
      </c>
      <c r="G65">
        <v>447</v>
      </c>
      <c r="H65" s="2">
        <v>4.2</v>
      </c>
      <c r="I65" s="1">
        <v>45608</v>
      </c>
      <c r="J65">
        <v>1567</v>
      </c>
      <c r="K65">
        <f t="shared" si="0"/>
        <v>0</v>
      </c>
      <c r="L65" t="str">
        <f t="shared" si="1"/>
        <v>Competitive</v>
      </c>
    </row>
    <row r="66" spans="1:12" x14ac:dyDescent="0.3">
      <c r="A66">
        <v>80</v>
      </c>
      <c r="B66" t="s">
        <v>13</v>
      </c>
      <c r="C66" t="s">
        <v>12</v>
      </c>
      <c r="D66">
        <v>1866</v>
      </c>
      <c r="E66">
        <v>1866</v>
      </c>
      <c r="F66">
        <v>1866</v>
      </c>
      <c r="G66">
        <v>388</v>
      </c>
      <c r="H66" s="2">
        <v>3.9725388601036289</v>
      </c>
      <c r="I66" s="1">
        <v>45563</v>
      </c>
      <c r="J66">
        <v>1866</v>
      </c>
      <c r="K66">
        <f t="shared" si="0"/>
        <v>0</v>
      </c>
      <c r="L66" t="str">
        <f t="shared" si="1"/>
        <v>Competitive</v>
      </c>
    </row>
    <row r="67" spans="1:12" x14ac:dyDescent="0.3">
      <c r="A67">
        <v>82</v>
      </c>
      <c r="B67" t="s">
        <v>25</v>
      </c>
      <c r="C67" t="s">
        <v>10</v>
      </c>
      <c r="D67">
        <v>5612</v>
      </c>
      <c r="E67">
        <v>5612</v>
      </c>
      <c r="F67">
        <v>5612</v>
      </c>
      <c r="G67">
        <v>299</v>
      </c>
      <c r="H67" s="2">
        <v>4.2</v>
      </c>
      <c r="I67" s="1">
        <v>45563</v>
      </c>
      <c r="J67">
        <v>5612</v>
      </c>
      <c r="K67">
        <f t="shared" ref="K67:K130" si="2" xml:space="preserve"> D67 - J67</f>
        <v>0</v>
      </c>
      <c r="L67" t="str">
        <f t="shared" ref="L67:L130" si="3">IF(K67&gt;100,"Overpriced",IF(K67&lt;-100,"Underpriced","Competitive"))</f>
        <v>Competitive</v>
      </c>
    </row>
    <row r="68" spans="1:12" x14ac:dyDescent="0.3">
      <c r="A68">
        <v>84</v>
      </c>
      <c r="B68" t="s">
        <v>25</v>
      </c>
      <c r="C68" t="s">
        <v>12</v>
      </c>
      <c r="D68">
        <v>3331</v>
      </c>
      <c r="E68">
        <v>3331</v>
      </c>
      <c r="F68">
        <v>3331</v>
      </c>
      <c r="G68">
        <v>95</v>
      </c>
      <c r="H68" s="2">
        <v>3.9725388601036289</v>
      </c>
      <c r="I68" s="1">
        <v>45613</v>
      </c>
      <c r="J68">
        <v>3331</v>
      </c>
      <c r="K68">
        <f t="shared" si="2"/>
        <v>0</v>
      </c>
      <c r="L68" t="str">
        <f t="shared" si="3"/>
        <v>Competitive</v>
      </c>
    </row>
    <row r="69" spans="1:12" x14ac:dyDescent="0.3">
      <c r="A69">
        <v>85</v>
      </c>
      <c r="B69" t="s">
        <v>20</v>
      </c>
      <c r="C69" t="s">
        <v>12</v>
      </c>
      <c r="D69">
        <v>3201</v>
      </c>
      <c r="E69">
        <v>2007</v>
      </c>
      <c r="F69">
        <v>4395</v>
      </c>
      <c r="G69">
        <v>63</v>
      </c>
      <c r="H69" s="2">
        <v>3.5</v>
      </c>
      <c r="I69" s="1">
        <v>45566</v>
      </c>
      <c r="J69">
        <v>3201</v>
      </c>
      <c r="K69">
        <f t="shared" si="2"/>
        <v>0</v>
      </c>
      <c r="L69" t="str">
        <f t="shared" si="3"/>
        <v>Competitive</v>
      </c>
    </row>
    <row r="70" spans="1:12" x14ac:dyDescent="0.3">
      <c r="A70">
        <v>86</v>
      </c>
      <c r="B70" t="s">
        <v>32</v>
      </c>
      <c r="C70" t="s">
        <v>10</v>
      </c>
      <c r="D70">
        <v>4754</v>
      </c>
      <c r="E70">
        <v>4754</v>
      </c>
      <c r="F70">
        <v>4754</v>
      </c>
      <c r="G70">
        <v>105</v>
      </c>
      <c r="H70" s="2">
        <v>3.9725388601036289</v>
      </c>
      <c r="I70" s="1">
        <v>45586</v>
      </c>
      <c r="J70">
        <v>4754</v>
      </c>
      <c r="K70">
        <f t="shared" si="2"/>
        <v>0</v>
      </c>
      <c r="L70" t="str">
        <f t="shared" si="3"/>
        <v>Competitive</v>
      </c>
    </row>
    <row r="71" spans="1:12" x14ac:dyDescent="0.3">
      <c r="A71">
        <v>87</v>
      </c>
      <c r="B71" t="s">
        <v>20</v>
      </c>
      <c r="C71" t="s">
        <v>19</v>
      </c>
      <c r="D71">
        <v>2064</v>
      </c>
      <c r="E71">
        <v>3394</v>
      </c>
      <c r="F71">
        <v>3394</v>
      </c>
      <c r="G71">
        <v>225</v>
      </c>
      <c r="H71" s="2">
        <v>3.4</v>
      </c>
      <c r="I71" s="1">
        <v>45594</v>
      </c>
      <c r="J71">
        <v>3394</v>
      </c>
      <c r="K71">
        <f t="shared" si="2"/>
        <v>-1330</v>
      </c>
      <c r="L71" t="str">
        <f t="shared" si="3"/>
        <v>Underpriced</v>
      </c>
    </row>
    <row r="72" spans="1:12" x14ac:dyDescent="0.3">
      <c r="A72">
        <v>88</v>
      </c>
      <c r="B72" t="s">
        <v>24</v>
      </c>
      <c r="C72" t="s">
        <v>19</v>
      </c>
      <c r="D72">
        <v>5968</v>
      </c>
      <c r="E72">
        <v>4687</v>
      </c>
      <c r="F72">
        <v>4687</v>
      </c>
      <c r="G72">
        <v>195</v>
      </c>
      <c r="H72" s="2">
        <v>3.9725388601036289</v>
      </c>
      <c r="I72" s="1">
        <v>45553</v>
      </c>
      <c r="J72">
        <v>4687</v>
      </c>
      <c r="K72">
        <f t="shared" si="2"/>
        <v>1281</v>
      </c>
      <c r="L72" t="str">
        <f t="shared" si="3"/>
        <v>Overpriced</v>
      </c>
    </row>
    <row r="73" spans="1:12" x14ac:dyDescent="0.3">
      <c r="A73">
        <v>90</v>
      </c>
      <c r="B73" t="s">
        <v>15</v>
      </c>
      <c r="C73" t="s">
        <v>14</v>
      </c>
      <c r="D73">
        <v>2032</v>
      </c>
      <c r="E73">
        <v>5931</v>
      </c>
      <c r="F73">
        <v>5931</v>
      </c>
      <c r="G73">
        <v>408</v>
      </c>
      <c r="H73" s="2">
        <v>3</v>
      </c>
      <c r="I73" s="1">
        <v>45610</v>
      </c>
      <c r="J73">
        <v>5931</v>
      </c>
      <c r="K73">
        <f t="shared" si="2"/>
        <v>-3899</v>
      </c>
      <c r="L73" t="str">
        <f t="shared" si="3"/>
        <v>Underpriced</v>
      </c>
    </row>
    <row r="74" spans="1:12" x14ac:dyDescent="0.3">
      <c r="A74">
        <v>91</v>
      </c>
      <c r="B74" t="s">
        <v>28</v>
      </c>
      <c r="C74" t="s">
        <v>12</v>
      </c>
      <c r="D74">
        <v>2479</v>
      </c>
      <c r="E74">
        <v>2479</v>
      </c>
      <c r="F74">
        <v>2479</v>
      </c>
      <c r="G74">
        <v>321</v>
      </c>
      <c r="H74" s="2">
        <v>4.8</v>
      </c>
      <c r="I74" s="1">
        <v>45547</v>
      </c>
      <c r="J74">
        <v>2479</v>
      </c>
      <c r="K74">
        <f t="shared" si="2"/>
        <v>0</v>
      </c>
      <c r="L74" t="str">
        <f t="shared" si="3"/>
        <v>Competitive</v>
      </c>
    </row>
    <row r="75" spans="1:12" x14ac:dyDescent="0.3">
      <c r="A75">
        <v>92</v>
      </c>
      <c r="B75" t="s">
        <v>24</v>
      </c>
      <c r="C75" t="s">
        <v>19</v>
      </c>
      <c r="D75">
        <v>2459</v>
      </c>
      <c r="E75">
        <v>2459</v>
      </c>
      <c r="F75">
        <v>2459</v>
      </c>
      <c r="G75">
        <v>215</v>
      </c>
      <c r="H75" s="2">
        <v>3.9725388601036289</v>
      </c>
      <c r="I75" s="1">
        <v>45577</v>
      </c>
      <c r="J75">
        <v>2459</v>
      </c>
      <c r="K75">
        <f t="shared" si="2"/>
        <v>0</v>
      </c>
      <c r="L75" t="str">
        <f t="shared" si="3"/>
        <v>Competitive</v>
      </c>
    </row>
    <row r="76" spans="1:12" x14ac:dyDescent="0.3">
      <c r="A76">
        <v>93</v>
      </c>
      <c r="B76" t="s">
        <v>30</v>
      </c>
      <c r="C76" t="s">
        <v>19</v>
      </c>
      <c r="D76">
        <v>1341</v>
      </c>
      <c r="E76">
        <v>3598</v>
      </c>
      <c r="F76">
        <v>3598</v>
      </c>
      <c r="G76">
        <v>349</v>
      </c>
      <c r="H76" s="2">
        <v>4.4000000000000004</v>
      </c>
      <c r="I76" s="1">
        <v>45600</v>
      </c>
      <c r="J76">
        <v>3598</v>
      </c>
      <c r="K76">
        <f t="shared" si="2"/>
        <v>-2257</v>
      </c>
      <c r="L76" t="str">
        <f t="shared" si="3"/>
        <v>Underpriced</v>
      </c>
    </row>
    <row r="77" spans="1:12" x14ac:dyDescent="0.3">
      <c r="A77">
        <v>94</v>
      </c>
      <c r="B77" t="s">
        <v>21</v>
      </c>
      <c r="C77" t="s">
        <v>16</v>
      </c>
      <c r="D77">
        <v>511</v>
      </c>
      <c r="E77">
        <v>511</v>
      </c>
      <c r="F77">
        <v>511</v>
      </c>
      <c r="G77">
        <v>398</v>
      </c>
      <c r="H77" s="2">
        <v>3.9725388601036289</v>
      </c>
      <c r="I77" s="1">
        <v>45597</v>
      </c>
      <c r="J77">
        <v>511</v>
      </c>
      <c r="K77">
        <f t="shared" si="2"/>
        <v>0</v>
      </c>
      <c r="L77" t="str">
        <f t="shared" si="3"/>
        <v>Competitive</v>
      </c>
    </row>
    <row r="78" spans="1:12" x14ac:dyDescent="0.3">
      <c r="A78">
        <v>95</v>
      </c>
      <c r="B78" t="s">
        <v>29</v>
      </c>
      <c r="C78" t="s">
        <v>14</v>
      </c>
      <c r="D78">
        <v>5072</v>
      </c>
      <c r="E78">
        <v>939</v>
      </c>
      <c r="F78">
        <v>939</v>
      </c>
      <c r="G78">
        <v>308</v>
      </c>
      <c r="H78" s="2">
        <v>4.4000000000000004</v>
      </c>
      <c r="I78" s="1">
        <v>45540</v>
      </c>
      <c r="J78">
        <v>939</v>
      </c>
      <c r="K78">
        <f t="shared" si="2"/>
        <v>4133</v>
      </c>
      <c r="L78" t="str">
        <f t="shared" si="3"/>
        <v>Overpriced</v>
      </c>
    </row>
    <row r="79" spans="1:12" x14ac:dyDescent="0.3">
      <c r="A79">
        <v>96</v>
      </c>
      <c r="B79" t="s">
        <v>26</v>
      </c>
      <c r="C79" t="s">
        <v>12</v>
      </c>
      <c r="D79">
        <v>5949</v>
      </c>
      <c r="E79">
        <v>5949</v>
      </c>
      <c r="F79">
        <v>5949</v>
      </c>
      <c r="G79">
        <v>53</v>
      </c>
      <c r="H79" s="2">
        <v>3.9725388601036289</v>
      </c>
      <c r="I79" s="1">
        <v>45618</v>
      </c>
      <c r="J79">
        <v>5949</v>
      </c>
      <c r="K79">
        <f t="shared" si="2"/>
        <v>0</v>
      </c>
      <c r="L79" t="str">
        <f t="shared" si="3"/>
        <v>Competitive</v>
      </c>
    </row>
    <row r="80" spans="1:12" x14ac:dyDescent="0.3">
      <c r="A80">
        <v>97</v>
      </c>
      <c r="B80" t="s">
        <v>9</v>
      </c>
      <c r="C80" t="s">
        <v>12</v>
      </c>
      <c r="D80">
        <v>4345</v>
      </c>
      <c r="E80">
        <v>4345</v>
      </c>
      <c r="F80">
        <v>4345</v>
      </c>
      <c r="G80">
        <v>306</v>
      </c>
      <c r="H80" s="2">
        <v>3.9725388601036289</v>
      </c>
      <c r="I80" s="1">
        <v>45554</v>
      </c>
      <c r="J80">
        <v>4345</v>
      </c>
      <c r="K80">
        <f t="shared" si="2"/>
        <v>0</v>
      </c>
      <c r="L80" t="str">
        <f t="shared" si="3"/>
        <v>Competitive</v>
      </c>
    </row>
    <row r="81" spans="1:12" x14ac:dyDescent="0.3">
      <c r="A81">
        <v>99</v>
      </c>
      <c r="B81" t="s">
        <v>29</v>
      </c>
      <c r="C81" t="s">
        <v>19</v>
      </c>
      <c r="D81">
        <v>4290</v>
      </c>
      <c r="E81">
        <v>5274</v>
      </c>
      <c r="F81">
        <v>5274</v>
      </c>
      <c r="G81">
        <v>211</v>
      </c>
      <c r="H81" s="2">
        <v>3.9725388601036289</v>
      </c>
      <c r="I81" s="1">
        <v>45545</v>
      </c>
      <c r="J81">
        <v>5274</v>
      </c>
      <c r="K81">
        <f t="shared" si="2"/>
        <v>-984</v>
      </c>
      <c r="L81" t="str">
        <f t="shared" si="3"/>
        <v>Underpriced</v>
      </c>
    </row>
    <row r="82" spans="1:12" x14ac:dyDescent="0.3">
      <c r="A82">
        <v>100</v>
      </c>
      <c r="B82" t="s">
        <v>20</v>
      </c>
      <c r="C82" t="s">
        <v>14</v>
      </c>
      <c r="D82">
        <v>2629.5</v>
      </c>
      <c r="E82">
        <v>1552</v>
      </c>
      <c r="F82">
        <v>3707</v>
      </c>
      <c r="G82">
        <v>229</v>
      </c>
      <c r="H82" s="2">
        <v>4.0999999999999996</v>
      </c>
      <c r="I82" s="1">
        <v>45583</v>
      </c>
      <c r="J82">
        <v>2629.5</v>
      </c>
      <c r="K82">
        <f t="shared" si="2"/>
        <v>0</v>
      </c>
      <c r="L82" t="str">
        <f t="shared" si="3"/>
        <v>Competitive</v>
      </c>
    </row>
    <row r="83" spans="1:12" x14ac:dyDescent="0.3">
      <c r="A83">
        <v>102</v>
      </c>
      <c r="B83" t="s">
        <v>17</v>
      </c>
      <c r="C83" t="s">
        <v>10</v>
      </c>
      <c r="D83">
        <v>1910</v>
      </c>
      <c r="E83">
        <v>1634</v>
      </c>
      <c r="F83">
        <v>2186</v>
      </c>
      <c r="G83">
        <v>304</v>
      </c>
      <c r="H83" s="2">
        <v>3.9725388601036289</v>
      </c>
      <c r="I83" s="1">
        <v>45578</v>
      </c>
      <c r="J83">
        <v>1910</v>
      </c>
      <c r="K83">
        <f t="shared" si="2"/>
        <v>0</v>
      </c>
      <c r="L83" t="str">
        <f t="shared" si="3"/>
        <v>Competitive</v>
      </c>
    </row>
    <row r="84" spans="1:12" x14ac:dyDescent="0.3">
      <c r="A84">
        <v>104</v>
      </c>
      <c r="B84" t="s">
        <v>24</v>
      </c>
      <c r="C84" t="s">
        <v>12</v>
      </c>
      <c r="D84">
        <v>1653</v>
      </c>
      <c r="E84">
        <v>1653</v>
      </c>
      <c r="F84">
        <v>1653</v>
      </c>
      <c r="G84">
        <v>182</v>
      </c>
      <c r="H84" s="2">
        <v>3.9725388601036289</v>
      </c>
      <c r="I84" s="1">
        <v>45551</v>
      </c>
      <c r="J84">
        <v>1653</v>
      </c>
      <c r="K84">
        <f t="shared" si="2"/>
        <v>0</v>
      </c>
      <c r="L84" t="str">
        <f t="shared" si="3"/>
        <v>Competitive</v>
      </c>
    </row>
    <row r="85" spans="1:12" x14ac:dyDescent="0.3">
      <c r="A85">
        <v>106</v>
      </c>
      <c r="B85" t="s">
        <v>26</v>
      </c>
      <c r="C85" t="s">
        <v>10</v>
      </c>
      <c r="D85">
        <v>2376</v>
      </c>
      <c r="E85">
        <v>2376</v>
      </c>
      <c r="F85">
        <v>2376</v>
      </c>
      <c r="G85">
        <v>454</v>
      </c>
      <c r="H85" s="2">
        <v>3.9725388601036289</v>
      </c>
      <c r="I85" s="1">
        <v>45617</v>
      </c>
      <c r="J85">
        <v>2376</v>
      </c>
      <c r="K85">
        <f t="shared" si="2"/>
        <v>0</v>
      </c>
      <c r="L85" t="str">
        <f t="shared" si="3"/>
        <v>Competitive</v>
      </c>
    </row>
    <row r="86" spans="1:12" x14ac:dyDescent="0.3">
      <c r="A86">
        <v>109</v>
      </c>
      <c r="B86" t="s">
        <v>9</v>
      </c>
      <c r="C86" t="s">
        <v>10</v>
      </c>
      <c r="D86">
        <v>4443</v>
      </c>
      <c r="E86">
        <v>4443</v>
      </c>
      <c r="F86">
        <v>4443</v>
      </c>
      <c r="G86">
        <v>168</v>
      </c>
      <c r="H86" s="2">
        <v>3.9725388601036289</v>
      </c>
      <c r="I86" s="1">
        <v>45562</v>
      </c>
      <c r="J86">
        <v>4443</v>
      </c>
      <c r="K86">
        <f t="shared" si="2"/>
        <v>0</v>
      </c>
      <c r="L86" t="str">
        <f t="shared" si="3"/>
        <v>Competitive</v>
      </c>
    </row>
    <row r="87" spans="1:12" x14ac:dyDescent="0.3">
      <c r="A87">
        <v>110</v>
      </c>
      <c r="B87" t="s">
        <v>13</v>
      </c>
      <c r="C87" t="s">
        <v>16</v>
      </c>
      <c r="D87">
        <v>1803</v>
      </c>
      <c r="E87">
        <v>485</v>
      </c>
      <c r="F87">
        <v>5549</v>
      </c>
      <c r="G87">
        <v>10</v>
      </c>
      <c r="H87" s="2">
        <v>3.7</v>
      </c>
      <c r="I87" s="1">
        <v>45595</v>
      </c>
      <c r="J87">
        <v>3017</v>
      </c>
      <c r="K87">
        <f t="shared" si="2"/>
        <v>-1214</v>
      </c>
      <c r="L87" t="str">
        <f t="shared" si="3"/>
        <v>Underpriced</v>
      </c>
    </row>
    <row r="88" spans="1:12" x14ac:dyDescent="0.3">
      <c r="A88">
        <v>111</v>
      </c>
      <c r="B88" t="s">
        <v>21</v>
      </c>
      <c r="C88" t="s">
        <v>16</v>
      </c>
      <c r="D88">
        <v>4888</v>
      </c>
      <c r="E88">
        <v>204</v>
      </c>
      <c r="F88">
        <v>204</v>
      </c>
      <c r="G88">
        <v>7</v>
      </c>
      <c r="H88" s="2">
        <v>3.9725388601036289</v>
      </c>
      <c r="I88" s="1">
        <v>45603</v>
      </c>
      <c r="J88">
        <v>204</v>
      </c>
      <c r="K88">
        <f t="shared" si="2"/>
        <v>4684</v>
      </c>
      <c r="L88" t="str">
        <f t="shared" si="3"/>
        <v>Overpriced</v>
      </c>
    </row>
    <row r="89" spans="1:12" x14ac:dyDescent="0.3">
      <c r="A89">
        <v>114</v>
      </c>
      <c r="B89" t="s">
        <v>18</v>
      </c>
      <c r="C89" t="s">
        <v>14</v>
      </c>
      <c r="D89">
        <v>1124</v>
      </c>
      <c r="E89">
        <v>3369</v>
      </c>
      <c r="F89">
        <v>3369</v>
      </c>
      <c r="G89">
        <v>229</v>
      </c>
      <c r="H89" s="2">
        <v>3.9725388601036289</v>
      </c>
      <c r="I89" s="1">
        <v>45564</v>
      </c>
      <c r="J89">
        <v>3369</v>
      </c>
      <c r="K89">
        <f t="shared" si="2"/>
        <v>-2245</v>
      </c>
      <c r="L89" t="str">
        <f t="shared" si="3"/>
        <v>Underpriced</v>
      </c>
    </row>
    <row r="90" spans="1:12" x14ac:dyDescent="0.3">
      <c r="A90">
        <v>117</v>
      </c>
      <c r="B90" t="s">
        <v>13</v>
      </c>
      <c r="C90" t="s">
        <v>12</v>
      </c>
      <c r="D90">
        <v>4361</v>
      </c>
      <c r="E90">
        <v>4355</v>
      </c>
      <c r="F90">
        <v>4355</v>
      </c>
      <c r="G90">
        <v>295</v>
      </c>
      <c r="H90" s="2">
        <v>3.9725388601036289</v>
      </c>
      <c r="I90" s="1">
        <v>45588</v>
      </c>
      <c r="J90">
        <v>4355</v>
      </c>
      <c r="K90">
        <f t="shared" si="2"/>
        <v>6</v>
      </c>
      <c r="L90" t="str">
        <f t="shared" si="3"/>
        <v>Competitive</v>
      </c>
    </row>
    <row r="91" spans="1:12" x14ac:dyDescent="0.3">
      <c r="A91">
        <v>118</v>
      </c>
      <c r="B91" t="s">
        <v>29</v>
      </c>
      <c r="C91" t="s">
        <v>14</v>
      </c>
      <c r="D91">
        <v>4462</v>
      </c>
      <c r="E91">
        <v>2334</v>
      </c>
      <c r="F91">
        <v>2334</v>
      </c>
      <c r="G91">
        <v>122</v>
      </c>
      <c r="H91" s="2">
        <v>4</v>
      </c>
      <c r="I91" s="1">
        <v>45564</v>
      </c>
      <c r="J91">
        <v>2334</v>
      </c>
      <c r="K91">
        <f t="shared" si="2"/>
        <v>2128</v>
      </c>
      <c r="L91" t="str">
        <f t="shared" si="3"/>
        <v>Overpriced</v>
      </c>
    </row>
    <row r="92" spans="1:12" x14ac:dyDescent="0.3">
      <c r="A92">
        <v>119</v>
      </c>
      <c r="B92" t="s">
        <v>24</v>
      </c>
      <c r="C92" t="s">
        <v>19</v>
      </c>
      <c r="D92">
        <v>5877</v>
      </c>
      <c r="E92">
        <v>5877</v>
      </c>
      <c r="F92">
        <v>5877</v>
      </c>
      <c r="G92">
        <v>2</v>
      </c>
      <c r="H92" s="2">
        <v>3.9</v>
      </c>
      <c r="I92" s="1">
        <v>45614</v>
      </c>
      <c r="J92">
        <v>5877</v>
      </c>
      <c r="K92">
        <f t="shared" si="2"/>
        <v>0</v>
      </c>
      <c r="L92" t="str">
        <f t="shared" si="3"/>
        <v>Competitive</v>
      </c>
    </row>
    <row r="93" spans="1:12" x14ac:dyDescent="0.3">
      <c r="A93">
        <v>120</v>
      </c>
      <c r="B93" t="s">
        <v>30</v>
      </c>
      <c r="C93" t="s">
        <v>12</v>
      </c>
      <c r="D93">
        <v>1367</v>
      </c>
      <c r="E93">
        <v>1367</v>
      </c>
      <c r="F93">
        <v>1367</v>
      </c>
      <c r="G93">
        <v>49</v>
      </c>
      <c r="H93" s="2">
        <v>3.3</v>
      </c>
      <c r="I93" s="1">
        <v>45623</v>
      </c>
      <c r="J93">
        <v>1367</v>
      </c>
      <c r="K93">
        <f t="shared" si="2"/>
        <v>0</v>
      </c>
      <c r="L93" t="str">
        <f t="shared" si="3"/>
        <v>Competitive</v>
      </c>
    </row>
    <row r="94" spans="1:12" x14ac:dyDescent="0.3">
      <c r="A94">
        <v>121</v>
      </c>
      <c r="B94" t="s">
        <v>32</v>
      </c>
      <c r="C94" t="s">
        <v>12</v>
      </c>
      <c r="D94">
        <v>5513</v>
      </c>
      <c r="E94">
        <v>5513</v>
      </c>
      <c r="F94">
        <v>5513</v>
      </c>
      <c r="G94">
        <v>222</v>
      </c>
      <c r="H94" s="2">
        <v>3.9725388601036289</v>
      </c>
      <c r="I94" s="1">
        <v>45544</v>
      </c>
      <c r="J94">
        <v>5513</v>
      </c>
      <c r="K94">
        <f t="shared" si="2"/>
        <v>0</v>
      </c>
      <c r="L94" t="str">
        <f t="shared" si="3"/>
        <v>Competitive</v>
      </c>
    </row>
    <row r="95" spans="1:12" x14ac:dyDescent="0.3">
      <c r="A95">
        <v>123</v>
      </c>
      <c r="B95" t="s">
        <v>29</v>
      </c>
      <c r="C95" t="s">
        <v>19</v>
      </c>
      <c r="D95">
        <v>3071</v>
      </c>
      <c r="E95">
        <v>1848</v>
      </c>
      <c r="F95">
        <v>4294</v>
      </c>
      <c r="G95">
        <v>419</v>
      </c>
      <c r="H95" s="2">
        <v>3.9725388601036289</v>
      </c>
      <c r="I95" s="1">
        <v>45588</v>
      </c>
      <c r="J95">
        <v>3071</v>
      </c>
      <c r="K95">
        <f t="shared" si="2"/>
        <v>0</v>
      </c>
      <c r="L95" t="str">
        <f t="shared" si="3"/>
        <v>Competitive</v>
      </c>
    </row>
    <row r="96" spans="1:12" x14ac:dyDescent="0.3">
      <c r="A96">
        <v>124</v>
      </c>
      <c r="B96" t="s">
        <v>21</v>
      </c>
      <c r="C96" t="s">
        <v>10</v>
      </c>
      <c r="D96">
        <v>5817</v>
      </c>
      <c r="E96">
        <v>2659</v>
      </c>
      <c r="F96">
        <v>5658</v>
      </c>
      <c r="G96">
        <v>445</v>
      </c>
      <c r="H96" s="2">
        <v>4.5999999999999996</v>
      </c>
      <c r="I96" s="1">
        <v>45585</v>
      </c>
      <c r="J96">
        <v>4158.5</v>
      </c>
      <c r="K96">
        <f t="shared" si="2"/>
        <v>1658.5</v>
      </c>
      <c r="L96" t="str">
        <f t="shared" si="3"/>
        <v>Overpriced</v>
      </c>
    </row>
    <row r="97" spans="1:12" x14ac:dyDescent="0.3">
      <c r="A97">
        <v>125</v>
      </c>
      <c r="B97" t="s">
        <v>29</v>
      </c>
      <c r="C97" t="s">
        <v>16</v>
      </c>
      <c r="D97">
        <v>4741</v>
      </c>
      <c r="E97">
        <v>5017</v>
      </c>
      <c r="F97">
        <v>2844</v>
      </c>
      <c r="G97">
        <v>189</v>
      </c>
      <c r="H97" s="2">
        <v>3.9725388601036289</v>
      </c>
      <c r="I97" s="1">
        <v>45591</v>
      </c>
      <c r="J97">
        <v>3930.5</v>
      </c>
      <c r="K97">
        <f t="shared" si="2"/>
        <v>810.5</v>
      </c>
      <c r="L97" t="str">
        <f t="shared" si="3"/>
        <v>Overpriced</v>
      </c>
    </row>
    <row r="98" spans="1:12" x14ac:dyDescent="0.3">
      <c r="A98">
        <v>127</v>
      </c>
      <c r="B98" t="s">
        <v>30</v>
      </c>
      <c r="C98" t="s">
        <v>19</v>
      </c>
      <c r="D98">
        <v>3079.5</v>
      </c>
      <c r="E98">
        <v>3306</v>
      </c>
      <c r="F98">
        <v>2853</v>
      </c>
      <c r="G98">
        <v>293</v>
      </c>
      <c r="H98" s="2">
        <v>4.5</v>
      </c>
      <c r="I98" s="1">
        <v>45618</v>
      </c>
      <c r="J98">
        <v>3079.5</v>
      </c>
      <c r="K98">
        <f t="shared" si="2"/>
        <v>0</v>
      </c>
      <c r="L98" t="str">
        <f t="shared" si="3"/>
        <v>Competitive</v>
      </c>
    </row>
    <row r="99" spans="1:12" x14ac:dyDescent="0.3">
      <c r="A99">
        <v>128</v>
      </c>
      <c r="B99" t="s">
        <v>20</v>
      </c>
      <c r="C99" t="s">
        <v>12</v>
      </c>
      <c r="D99">
        <v>2667</v>
      </c>
      <c r="E99">
        <v>2667</v>
      </c>
      <c r="F99">
        <v>2667</v>
      </c>
      <c r="G99">
        <v>189</v>
      </c>
      <c r="H99" s="2">
        <v>4</v>
      </c>
      <c r="I99" s="1">
        <v>45587</v>
      </c>
      <c r="J99">
        <v>2667</v>
      </c>
      <c r="K99">
        <f t="shared" si="2"/>
        <v>0</v>
      </c>
      <c r="L99" t="str">
        <f t="shared" si="3"/>
        <v>Competitive</v>
      </c>
    </row>
    <row r="100" spans="1:12" x14ac:dyDescent="0.3">
      <c r="A100">
        <v>129</v>
      </c>
      <c r="B100" t="s">
        <v>11</v>
      </c>
      <c r="C100" t="s">
        <v>10</v>
      </c>
      <c r="D100">
        <v>3919</v>
      </c>
      <c r="E100">
        <v>1386</v>
      </c>
      <c r="F100">
        <v>1386</v>
      </c>
      <c r="G100">
        <v>210</v>
      </c>
      <c r="H100" s="2">
        <v>3.9725388601036289</v>
      </c>
      <c r="I100" s="1">
        <v>45579</v>
      </c>
      <c r="J100">
        <v>1386</v>
      </c>
      <c r="K100">
        <f t="shared" si="2"/>
        <v>2533</v>
      </c>
      <c r="L100" t="str">
        <f t="shared" si="3"/>
        <v>Overpriced</v>
      </c>
    </row>
    <row r="101" spans="1:12" x14ac:dyDescent="0.3">
      <c r="A101">
        <v>132</v>
      </c>
      <c r="B101" t="s">
        <v>29</v>
      </c>
      <c r="C101" t="s">
        <v>12</v>
      </c>
      <c r="D101">
        <v>2742</v>
      </c>
      <c r="E101">
        <v>5509</v>
      </c>
      <c r="F101">
        <v>3167</v>
      </c>
      <c r="G101">
        <v>350</v>
      </c>
      <c r="H101" s="2">
        <v>4.5</v>
      </c>
      <c r="I101" s="1">
        <v>45623</v>
      </c>
      <c r="J101">
        <v>4338</v>
      </c>
      <c r="K101">
        <f t="shared" si="2"/>
        <v>-1596</v>
      </c>
      <c r="L101" t="str">
        <f t="shared" si="3"/>
        <v>Underpriced</v>
      </c>
    </row>
    <row r="102" spans="1:12" x14ac:dyDescent="0.3">
      <c r="A102">
        <v>133</v>
      </c>
      <c r="B102" t="s">
        <v>20</v>
      </c>
      <c r="C102" t="s">
        <v>19</v>
      </c>
      <c r="D102">
        <v>2981.5</v>
      </c>
      <c r="E102">
        <v>2464</v>
      </c>
      <c r="F102">
        <v>3499</v>
      </c>
      <c r="G102">
        <v>190</v>
      </c>
      <c r="H102" s="2">
        <v>3.9725388601036289</v>
      </c>
      <c r="I102" s="1">
        <v>45577</v>
      </c>
      <c r="J102">
        <v>2981.5</v>
      </c>
      <c r="K102">
        <f t="shared" si="2"/>
        <v>0</v>
      </c>
      <c r="L102" t="str">
        <f t="shared" si="3"/>
        <v>Competitive</v>
      </c>
    </row>
    <row r="103" spans="1:12" x14ac:dyDescent="0.3">
      <c r="A103">
        <v>134</v>
      </c>
      <c r="B103" t="s">
        <v>28</v>
      </c>
      <c r="C103" t="s">
        <v>14</v>
      </c>
      <c r="D103">
        <v>2657.5</v>
      </c>
      <c r="E103">
        <v>2628</v>
      </c>
      <c r="F103">
        <v>2687</v>
      </c>
      <c r="G103">
        <v>419</v>
      </c>
      <c r="H103" s="2">
        <v>3.9725388601036289</v>
      </c>
      <c r="I103" s="1">
        <v>45542</v>
      </c>
      <c r="J103">
        <v>2657.5</v>
      </c>
      <c r="K103">
        <f t="shared" si="2"/>
        <v>0</v>
      </c>
      <c r="L103" t="str">
        <f t="shared" si="3"/>
        <v>Competitive</v>
      </c>
    </row>
    <row r="104" spans="1:12" x14ac:dyDescent="0.3">
      <c r="A104">
        <v>136</v>
      </c>
      <c r="B104" t="s">
        <v>31</v>
      </c>
      <c r="C104" t="s">
        <v>12</v>
      </c>
      <c r="D104">
        <v>436</v>
      </c>
      <c r="E104">
        <v>3335</v>
      </c>
      <c r="F104">
        <v>3335</v>
      </c>
      <c r="G104">
        <v>448</v>
      </c>
      <c r="H104" s="2">
        <v>4.5999999999999996</v>
      </c>
      <c r="I104" s="1">
        <v>45540</v>
      </c>
      <c r="J104">
        <v>3335</v>
      </c>
      <c r="K104">
        <f t="shared" si="2"/>
        <v>-2899</v>
      </c>
      <c r="L104" t="str">
        <f t="shared" si="3"/>
        <v>Underpriced</v>
      </c>
    </row>
    <row r="105" spans="1:12" x14ac:dyDescent="0.3">
      <c r="A105">
        <v>138</v>
      </c>
      <c r="B105" t="s">
        <v>28</v>
      </c>
      <c r="C105" t="s">
        <v>16</v>
      </c>
      <c r="D105">
        <v>1958</v>
      </c>
      <c r="E105">
        <v>3809</v>
      </c>
      <c r="F105">
        <v>1584</v>
      </c>
      <c r="G105">
        <v>239</v>
      </c>
      <c r="H105" s="2">
        <v>3.9725388601036289</v>
      </c>
      <c r="I105" s="1">
        <v>45594</v>
      </c>
      <c r="J105">
        <v>2696.5</v>
      </c>
      <c r="K105">
        <f t="shared" si="2"/>
        <v>-738.5</v>
      </c>
      <c r="L105" t="str">
        <f t="shared" si="3"/>
        <v>Underpriced</v>
      </c>
    </row>
    <row r="106" spans="1:12" x14ac:dyDescent="0.3">
      <c r="A106">
        <v>139</v>
      </c>
      <c r="B106" t="s">
        <v>26</v>
      </c>
      <c r="C106" t="s">
        <v>14</v>
      </c>
      <c r="D106">
        <v>5994</v>
      </c>
      <c r="E106">
        <v>5994</v>
      </c>
      <c r="F106">
        <v>5994</v>
      </c>
      <c r="G106">
        <v>419</v>
      </c>
      <c r="H106" s="2">
        <v>3.7</v>
      </c>
      <c r="I106" s="1">
        <v>45567</v>
      </c>
      <c r="J106">
        <v>5994</v>
      </c>
      <c r="K106">
        <f t="shared" si="2"/>
        <v>0</v>
      </c>
      <c r="L106" t="str">
        <f t="shared" si="3"/>
        <v>Competitive</v>
      </c>
    </row>
    <row r="107" spans="1:12" x14ac:dyDescent="0.3">
      <c r="A107">
        <v>140</v>
      </c>
      <c r="B107" t="s">
        <v>24</v>
      </c>
      <c r="C107" t="s">
        <v>12</v>
      </c>
      <c r="D107">
        <v>5436</v>
      </c>
      <c r="E107">
        <v>5436</v>
      </c>
      <c r="F107">
        <v>5436</v>
      </c>
      <c r="G107">
        <v>126</v>
      </c>
      <c r="H107" s="2">
        <v>4.0999999999999996</v>
      </c>
      <c r="I107" s="1">
        <v>45600</v>
      </c>
      <c r="J107">
        <v>5436</v>
      </c>
      <c r="K107">
        <f t="shared" si="2"/>
        <v>0</v>
      </c>
      <c r="L107" t="str">
        <f t="shared" si="3"/>
        <v>Competitive</v>
      </c>
    </row>
    <row r="108" spans="1:12" x14ac:dyDescent="0.3">
      <c r="A108">
        <v>141</v>
      </c>
      <c r="B108" t="s">
        <v>33</v>
      </c>
      <c r="C108" t="s">
        <v>16</v>
      </c>
      <c r="D108">
        <v>3115</v>
      </c>
      <c r="E108">
        <v>3115</v>
      </c>
      <c r="F108">
        <v>3115</v>
      </c>
      <c r="G108">
        <v>124</v>
      </c>
      <c r="H108" s="2">
        <v>3.9725388601036289</v>
      </c>
      <c r="I108" s="1">
        <v>45625</v>
      </c>
      <c r="J108">
        <v>3115</v>
      </c>
      <c r="K108">
        <f t="shared" si="2"/>
        <v>0</v>
      </c>
      <c r="L108" t="str">
        <f t="shared" si="3"/>
        <v>Competitive</v>
      </c>
    </row>
    <row r="109" spans="1:12" x14ac:dyDescent="0.3">
      <c r="A109">
        <v>143</v>
      </c>
      <c r="B109" t="s">
        <v>29</v>
      </c>
      <c r="C109" t="s">
        <v>10</v>
      </c>
      <c r="D109">
        <v>600</v>
      </c>
      <c r="E109">
        <v>600</v>
      </c>
      <c r="F109">
        <v>600</v>
      </c>
      <c r="G109">
        <v>85</v>
      </c>
      <c r="H109" s="2">
        <v>3.9725388601036289</v>
      </c>
      <c r="I109" s="1">
        <v>45548</v>
      </c>
      <c r="J109">
        <v>600</v>
      </c>
      <c r="K109">
        <f t="shared" si="2"/>
        <v>0</v>
      </c>
      <c r="L109" t="str">
        <f t="shared" si="3"/>
        <v>Competitive</v>
      </c>
    </row>
    <row r="110" spans="1:12" x14ac:dyDescent="0.3">
      <c r="A110">
        <v>144</v>
      </c>
      <c r="B110" t="s">
        <v>15</v>
      </c>
      <c r="C110" t="s">
        <v>12</v>
      </c>
      <c r="D110">
        <v>3575</v>
      </c>
      <c r="E110">
        <v>3575</v>
      </c>
      <c r="F110">
        <v>3575</v>
      </c>
      <c r="G110">
        <v>71</v>
      </c>
      <c r="H110" s="2">
        <v>4.2</v>
      </c>
      <c r="I110" s="1">
        <v>45574</v>
      </c>
      <c r="J110">
        <v>3575</v>
      </c>
      <c r="K110">
        <f t="shared" si="2"/>
        <v>0</v>
      </c>
      <c r="L110" t="str">
        <f t="shared" si="3"/>
        <v>Competitive</v>
      </c>
    </row>
    <row r="111" spans="1:12" x14ac:dyDescent="0.3">
      <c r="A111">
        <v>145</v>
      </c>
      <c r="B111" t="s">
        <v>29</v>
      </c>
      <c r="C111" t="s">
        <v>12</v>
      </c>
      <c r="D111">
        <v>3361.5</v>
      </c>
      <c r="E111">
        <v>1104</v>
      </c>
      <c r="F111">
        <v>5619</v>
      </c>
      <c r="G111">
        <v>115</v>
      </c>
      <c r="H111" s="2">
        <v>3.9725388601036289</v>
      </c>
      <c r="I111" s="1">
        <v>45578</v>
      </c>
      <c r="J111">
        <v>3361.5</v>
      </c>
      <c r="K111">
        <f t="shared" si="2"/>
        <v>0</v>
      </c>
      <c r="L111" t="str">
        <f t="shared" si="3"/>
        <v>Competitive</v>
      </c>
    </row>
    <row r="112" spans="1:12" x14ac:dyDescent="0.3">
      <c r="A112">
        <v>146</v>
      </c>
      <c r="B112" t="s">
        <v>13</v>
      </c>
      <c r="C112" t="s">
        <v>14</v>
      </c>
      <c r="D112">
        <v>596</v>
      </c>
      <c r="E112">
        <v>596</v>
      </c>
      <c r="F112">
        <v>596</v>
      </c>
      <c r="G112">
        <v>249</v>
      </c>
      <c r="H112" s="2">
        <v>4.0999999999999996</v>
      </c>
      <c r="I112" s="1">
        <v>45559</v>
      </c>
      <c r="J112">
        <v>596</v>
      </c>
      <c r="K112">
        <f t="shared" si="2"/>
        <v>0</v>
      </c>
      <c r="L112" t="str">
        <f t="shared" si="3"/>
        <v>Competitive</v>
      </c>
    </row>
    <row r="113" spans="1:12" x14ac:dyDescent="0.3">
      <c r="A113">
        <v>147</v>
      </c>
      <c r="B113" t="s">
        <v>22</v>
      </c>
      <c r="C113" t="s">
        <v>14</v>
      </c>
      <c r="D113">
        <v>987</v>
      </c>
      <c r="E113">
        <v>987</v>
      </c>
      <c r="F113">
        <v>987</v>
      </c>
      <c r="G113">
        <v>383</v>
      </c>
      <c r="H113" s="2">
        <v>3.7</v>
      </c>
      <c r="I113" s="1">
        <v>45553</v>
      </c>
      <c r="J113">
        <v>987</v>
      </c>
      <c r="K113">
        <f t="shared" si="2"/>
        <v>0</v>
      </c>
      <c r="L113" t="str">
        <f t="shared" si="3"/>
        <v>Competitive</v>
      </c>
    </row>
    <row r="114" spans="1:12" x14ac:dyDescent="0.3">
      <c r="A114">
        <v>148</v>
      </c>
      <c r="B114" t="s">
        <v>27</v>
      </c>
      <c r="C114" t="s">
        <v>14</v>
      </c>
      <c r="D114">
        <v>3359</v>
      </c>
      <c r="E114">
        <v>3359</v>
      </c>
      <c r="F114">
        <v>3359</v>
      </c>
      <c r="G114">
        <v>114</v>
      </c>
      <c r="H114" s="2">
        <v>3.8</v>
      </c>
      <c r="I114" s="1">
        <v>45541</v>
      </c>
      <c r="J114">
        <v>3359</v>
      </c>
      <c r="K114">
        <f t="shared" si="2"/>
        <v>0</v>
      </c>
      <c r="L114" t="str">
        <f t="shared" si="3"/>
        <v>Competitive</v>
      </c>
    </row>
    <row r="115" spans="1:12" x14ac:dyDescent="0.3">
      <c r="A115">
        <v>149</v>
      </c>
      <c r="B115" t="s">
        <v>31</v>
      </c>
      <c r="C115" t="s">
        <v>19</v>
      </c>
      <c r="D115">
        <v>2867</v>
      </c>
      <c r="E115">
        <v>5694</v>
      </c>
      <c r="F115">
        <v>1519</v>
      </c>
      <c r="G115">
        <v>44</v>
      </c>
      <c r="H115" s="2">
        <v>4.5</v>
      </c>
      <c r="I115" s="1">
        <v>45626</v>
      </c>
      <c r="J115">
        <v>3606.5</v>
      </c>
      <c r="K115">
        <f t="shared" si="2"/>
        <v>-739.5</v>
      </c>
      <c r="L115" t="str">
        <f t="shared" si="3"/>
        <v>Underpriced</v>
      </c>
    </row>
    <row r="116" spans="1:12" x14ac:dyDescent="0.3">
      <c r="A116">
        <v>150</v>
      </c>
      <c r="B116" t="s">
        <v>32</v>
      </c>
      <c r="C116" t="s">
        <v>19</v>
      </c>
      <c r="D116">
        <v>4801</v>
      </c>
      <c r="E116">
        <v>2339</v>
      </c>
      <c r="F116">
        <v>337</v>
      </c>
      <c r="G116">
        <v>5</v>
      </c>
      <c r="H116" s="2">
        <v>3.9725388601036289</v>
      </c>
      <c r="I116" s="1">
        <v>45594</v>
      </c>
      <c r="J116">
        <v>1338</v>
      </c>
      <c r="K116">
        <f t="shared" si="2"/>
        <v>3463</v>
      </c>
      <c r="L116" t="str">
        <f t="shared" si="3"/>
        <v>Overpriced</v>
      </c>
    </row>
    <row r="117" spans="1:12" x14ac:dyDescent="0.3">
      <c r="A117">
        <v>151</v>
      </c>
      <c r="B117" t="s">
        <v>22</v>
      </c>
      <c r="C117" t="s">
        <v>10</v>
      </c>
      <c r="D117">
        <v>1476</v>
      </c>
      <c r="E117">
        <v>2669</v>
      </c>
      <c r="F117">
        <v>2574</v>
      </c>
      <c r="G117">
        <v>416</v>
      </c>
      <c r="H117" s="2">
        <v>4.7</v>
      </c>
      <c r="I117" s="1">
        <v>45622</v>
      </c>
      <c r="J117">
        <v>2621.5</v>
      </c>
      <c r="K117">
        <f t="shared" si="2"/>
        <v>-1145.5</v>
      </c>
      <c r="L117" t="str">
        <f t="shared" si="3"/>
        <v>Underpriced</v>
      </c>
    </row>
    <row r="118" spans="1:12" x14ac:dyDescent="0.3">
      <c r="A118">
        <v>152</v>
      </c>
      <c r="B118" t="s">
        <v>33</v>
      </c>
      <c r="C118" t="s">
        <v>12</v>
      </c>
      <c r="D118">
        <v>1455</v>
      </c>
      <c r="E118">
        <v>5569</v>
      </c>
      <c r="F118">
        <v>349</v>
      </c>
      <c r="G118">
        <v>289</v>
      </c>
      <c r="H118" s="2">
        <v>3.9</v>
      </c>
      <c r="I118" s="1">
        <v>45611</v>
      </c>
      <c r="J118">
        <v>2959</v>
      </c>
      <c r="K118">
        <f t="shared" si="2"/>
        <v>-1504</v>
      </c>
      <c r="L118" t="str">
        <f t="shared" si="3"/>
        <v>Underpriced</v>
      </c>
    </row>
    <row r="119" spans="1:12" x14ac:dyDescent="0.3">
      <c r="A119">
        <v>153</v>
      </c>
      <c r="B119" t="s">
        <v>30</v>
      </c>
      <c r="C119" t="s">
        <v>16</v>
      </c>
      <c r="D119">
        <v>3080</v>
      </c>
      <c r="E119">
        <v>3080</v>
      </c>
      <c r="F119">
        <v>3080</v>
      </c>
      <c r="G119">
        <v>80</v>
      </c>
      <c r="H119" s="2">
        <v>3.8</v>
      </c>
      <c r="I119" s="1">
        <v>45604</v>
      </c>
      <c r="J119">
        <v>3080</v>
      </c>
      <c r="K119">
        <f t="shared" si="2"/>
        <v>0</v>
      </c>
      <c r="L119" t="str">
        <f t="shared" si="3"/>
        <v>Competitive</v>
      </c>
    </row>
    <row r="120" spans="1:12" x14ac:dyDescent="0.3">
      <c r="A120">
        <v>154</v>
      </c>
      <c r="B120" t="s">
        <v>25</v>
      </c>
      <c r="C120" t="s">
        <v>14</v>
      </c>
      <c r="D120">
        <v>3611</v>
      </c>
      <c r="E120">
        <v>1954</v>
      </c>
      <c r="F120">
        <v>5268</v>
      </c>
      <c r="G120">
        <v>455</v>
      </c>
      <c r="H120" s="2">
        <v>3.9725388601036289</v>
      </c>
      <c r="I120" s="1">
        <v>45619</v>
      </c>
      <c r="J120">
        <v>3611</v>
      </c>
      <c r="K120">
        <f t="shared" si="2"/>
        <v>0</v>
      </c>
      <c r="L120" t="str">
        <f t="shared" si="3"/>
        <v>Competitive</v>
      </c>
    </row>
    <row r="121" spans="1:12" x14ac:dyDescent="0.3">
      <c r="A121">
        <v>155</v>
      </c>
      <c r="B121" t="s">
        <v>20</v>
      </c>
      <c r="C121" t="s">
        <v>16</v>
      </c>
      <c r="D121">
        <v>4877</v>
      </c>
      <c r="E121">
        <v>3955</v>
      </c>
      <c r="F121">
        <v>5799</v>
      </c>
      <c r="G121">
        <v>196</v>
      </c>
      <c r="H121" s="2">
        <v>4</v>
      </c>
      <c r="I121" s="1">
        <v>45551</v>
      </c>
      <c r="J121">
        <v>4877</v>
      </c>
      <c r="K121">
        <f t="shared" si="2"/>
        <v>0</v>
      </c>
      <c r="L121" t="str">
        <f t="shared" si="3"/>
        <v>Competitive</v>
      </c>
    </row>
    <row r="122" spans="1:12" x14ac:dyDescent="0.3">
      <c r="A122">
        <v>156</v>
      </c>
      <c r="B122" t="s">
        <v>30</v>
      </c>
      <c r="C122" t="s">
        <v>10</v>
      </c>
      <c r="D122">
        <v>4900</v>
      </c>
      <c r="E122">
        <v>4476</v>
      </c>
      <c r="F122">
        <v>4476</v>
      </c>
      <c r="G122">
        <v>141</v>
      </c>
      <c r="H122" s="2">
        <v>4.8</v>
      </c>
      <c r="I122" s="1">
        <v>45545</v>
      </c>
      <c r="J122">
        <v>4476</v>
      </c>
      <c r="K122">
        <f t="shared" si="2"/>
        <v>424</v>
      </c>
      <c r="L122" t="str">
        <f t="shared" si="3"/>
        <v>Overpriced</v>
      </c>
    </row>
    <row r="123" spans="1:12" x14ac:dyDescent="0.3">
      <c r="A123">
        <v>157</v>
      </c>
      <c r="B123" t="s">
        <v>32</v>
      </c>
      <c r="C123" t="s">
        <v>16</v>
      </c>
      <c r="D123">
        <v>329</v>
      </c>
      <c r="E123">
        <v>5332</v>
      </c>
      <c r="F123">
        <v>2380</v>
      </c>
      <c r="G123">
        <v>395</v>
      </c>
      <c r="H123" s="2">
        <v>3.9725388601036289</v>
      </c>
      <c r="I123" s="1">
        <v>45606</v>
      </c>
      <c r="J123">
        <v>3856</v>
      </c>
      <c r="K123">
        <f t="shared" si="2"/>
        <v>-3527</v>
      </c>
      <c r="L123" t="str">
        <f t="shared" si="3"/>
        <v>Underpriced</v>
      </c>
    </row>
    <row r="124" spans="1:12" x14ac:dyDescent="0.3">
      <c r="A124">
        <v>158</v>
      </c>
      <c r="B124" t="s">
        <v>33</v>
      </c>
      <c r="C124" t="s">
        <v>10</v>
      </c>
      <c r="D124">
        <v>3550</v>
      </c>
      <c r="E124">
        <v>3550</v>
      </c>
      <c r="F124">
        <v>3550</v>
      </c>
      <c r="G124">
        <v>201</v>
      </c>
      <c r="H124" s="2">
        <v>3.9725388601036289</v>
      </c>
      <c r="I124" s="1">
        <v>45593</v>
      </c>
      <c r="J124">
        <v>3550</v>
      </c>
      <c r="K124">
        <f t="shared" si="2"/>
        <v>0</v>
      </c>
      <c r="L124" t="str">
        <f t="shared" si="3"/>
        <v>Competitive</v>
      </c>
    </row>
    <row r="125" spans="1:12" x14ac:dyDescent="0.3">
      <c r="A125">
        <v>159</v>
      </c>
      <c r="B125" t="s">
        <v>32</v>
      </c>
      <c r="C125" t="s">
        <v>19</v>
      </c>
      <c r="D125">
        <v>628.5</v>
      </c>
      <c r="E125">
        <v>315</v>
      </c>
      <c r="F125">
        <v>942</v>
      </c>
      <c r="G125">
        <v>396</v>
      </c>
      <c r="H125" s="2">
        <v>3.1</v>
      </c>
      <c r="I125" s="1">
        <v>45590</v>
      </c>
      <c r="J125">
        <v>628.5</v>
      </c>
      <c r="K125">
        <f t="shared" si="2"/>
        <v>0</v>
      </c>
      <c r="L125" t="str">
        <f t="shared" si="3"/>
        <v>Competitive</v>
      </c>
    </row>
    <row r="126" spans="1:12" x14ac:dyDescent="0.3">
      <c r="A126">
        <v>160</v>
      </c>
      <c r="B126" t="s">
        <v>13</v>
      </c>
      <c r="C126" t="s">
        <v>10</v>
      </c>
      <c r="D126">
        <v>4985</v>
      </c>
      <c r="E126">
        <v>4985</v>
      </c>
      <c r="F126">
        <v>4985</v>
      </c>
      <c r="G126">
        <v>298</v>
      </c>
      <c r="H126" s="2">
        <v>3.9725388601036289</v>
      </c>
      <c r="I126" s="1">
        <v>45578</v>
      </c>
      <c r="J126">
        <v>4985</v>
      </c>
      <c r="K126">
        <f t="shared" si="2"/>
        <v>0</v>
      </c>
      <c r="L126" t="str">
        <f t="shared" si="3"/>
        <v>Competitive</v>
      </c>
    </row>
    <row r="127" spans="1:12" x14ac:dyDescent="0.3">
      <c r="A127">
        <v>161</v>
      </c>
      <c r="B127" t="s">
        <v>24</v>
      </c>
      <c r="C127" t="s">
        <v>14</v>
      </c>
      <c r="D127">
        <v>4775</v>
      </c>
      <c r="E127">
        <v>4775</v>
      </c>
      <c r="F127">
        <v>4775</v>
      </c>
      <c r="G127">
        <v>384</v>
      </c>
      <c r="H127" s="2">
        <v>3.9725388601036289</v>
      </c>
      <c r="I127" s="1">
        <v>45607</v>
      </c>
      <c r="J127">
        <v>4775</v>
      </c>
      <c r="K127">
        <f t="shared" si="2"/>
        <v>0</v>
      </c>
      <c r="L127" t="str">
        <f t="shared" si="3"/>
        <v>Competitive</v>
      </c>
    </row>
    <row r="128" spans="1:12" x14ac:dyDescent="0.3">
      <c r="A128">
        <v>162</v>
      </c>
      <c r="B128" t="s">
        <v>26</v>
      </c>
      <c r="C128" t="s">
        <v>14</v>
      </c>
      <c r="D128">
        <v>1497</v>
      </c>
      <c r="E128">
        <v>2756</v>
      </c>
      <c r="F128">
        <v>2756</v>
      </c>
      <c r="G128">
        <v>129</v>
      </c>
      <c r="H128" s="2">
        <v>3.9725388601036289</v>
      </c>
      <c r="I128" s="1">
        <v>45603</v>
      </c>
      <c r="J128">
        <v>2756</v>
      </c>
      <c r="K128">
        <f t="shared" si="2"/>
        <v>-1259</v>
      </c>
      <c r="L128" t="str">
        <f t="shared" si="3"/>
        <v>Underpriced</v>
      </c>
    </row>
    <row r="129" spans="1:12" x14ac:dyDescent="0.3">
      <c r="A129">
        <v>163</v>
      </c>
      <c r="B129" t="s">
        <v>32</v>
      </c>
      <c r="C129" t="s">
        <v>10</v>
      </c>
      <c r="D129">
        <v>989</v>
      </c>
      <c r="E129">
        <v>3232</v>
      </c>
      <c r="F129">
        <v>3232</v>
      </c>
      <c r="G129">
        <v>324</v>
      </c>
      <c r="H129" s="2">
        <v>3.9725388601036289</v>
      </c>
      <c r="I129" s="1">
        <v>45583</v>
      </c>
      <c r="J129">
        <v>3232</v>
      </c>
      <c r="K129">
        <f t="shared" si="2"/>
        <v>-2243</v>
      </c>
      <c r="L129" t="str">
        <f t="shared" si="3"/>
        <v>Underpriced</v>
      </c>
    </row>
    <row r="130" spans="1:12" x14ac:dyDescent="0.3">
      <c r="A130">
        <v>164</v>
      </c>
      <c r="B130" t="s">
        <v>13</v>
      </c>
      <c r="C130" t="s">
        <v>16</v>
      </c>
      <c r="D130">
        <v>774</v>
      </c>
      <c r="E130">
        <v>873</v>
      </c>
      <c r="F130">
        <v>3445</v>
      </c>
      <c r="G130">
        <v>436</v>
      </c>
      <c r="H130" s="2">
        <v>3.9725388601036289</v>
      </c>
      <c r="I130" s="1">
        <v>45619</v>
      </c>
      <c r="J130">
        <v>2159</v>
      </c>
      <c r="K130">
        <f t="shared" si="2"/>
        <v>-1385</v>
      </c>
      <c r="L130" t="str">
        <f t="shared" si="3"/>
        <v>Underpriced</v>
      </c>
    </row>
    <row r="131" spans="1:12" x14ac:dyDescent="0.3">
      <c r="A131">
        <v>165</v>
      </c>
      <c r="B131" t="s">
        <v>18</v>
      </c>
      <c r="C131" t="s">
        <v>12</v>
      </c>
      <c r="D131">
        <v>2086</v>
      </c>
      <c r="E131">
        <v>2086</v>
      </c>
      <c r="F131">
        <v>2086</v>
      </c>
      <c r="G131">
        <v>465</v>
      </c>
      <c r="H131" s="2">
        <v>3.9725388601036289</v>
      </c>
      <c r="I131" s="1">
        <v>45554</v>
      </c>
      <c r="J131">
        <v>2086</v>
      </c>
      <c r="K131">
        <f t="shared" ref="K131:K194" si="4" xml:space="preserve"> D131 - J131</f>
        <v>0</v>
      </c>
      <c r="L131" t="str">
        <f t="shared" ref="L131:L194" si="5">IF(K131&gt;100,"Overpriced",IF(K131&lt;-100,"Underpriced","Competitive"))</f>
        <v>Competitive</v>
      </c>
    </row>
    <row r="132" spans="1:12" x14ac:dyDescent="0.3">
      <c r="A132">
        <v>166</v>
      </c>
      <c r="B132" t="s">
        <v>11</v>
      </c>
      <c r="C132" t="s">
        <v>14</v>
      </c>
      <c r="D132">
        <v>4968</v>
      </c>
      <c r="E132">
        <v>4968</v>
      </c>
      <c r="F132">
        <v>4968</v>
      </c>
      <c r="G132">
        <v>336</v>
      </c>
      <c r="H132" s="2">
        <v>4.7</v>
      </c>
      <c r="I132" s="1">
        <v>45551</v>
      </c>
      <c r="J132">
        <v>4968</v>
      </c>
      <c r="K132">
        <f t="shared" si="4"/>
        <v>0</v>
      </c>
      <c r="L132" t="str">
        <f t="shared" si="5"/>
        <v>Competitive</v>
      </c>
    </row>
    <row r="133" spans="1:12" x14ac:dyDescent="0.3">
      <c r="A133">
        <v>172</v>
      </c>
      <c r="B133" t="s">
        <v>28</v>
      </c>
      <c r="C133" t="s">
        <v>14</v>
      </c>
      <c r="D133">
        <v>1060</v>
      </c>
      <c r="E133">
        <v>338</v>
      </c>
      <c r="F133">
        <v>338</v>
      </c>
      <c r="G133">
        <v>159</v>
      </c>
      <c r="H133" s="2">
        <v>3.9725388601036289</v>
      </c>
      <c r="I133" s="1">
        <v>45602</v>
      </c>
      <c r="J133">
        <v>338</v>
      </c>
      <c r="K133">
        <f t="shared" si="4"/>
        <v>722</v>
      </c>
      <c r="L133" t="str">
        <f t="shared" si="5"/>
        <v>Overpriced</v>
      </c>
    </row>
    <row r="134" spans="1:12" x14ac:dyDescent="0.3">
      <c r="A134">
        <v>173</v>
      </c>
      <c r="B134" t="s">
        <v>11</v>
      </c>
      <c r="C134" t="s">
        <v>14</v>
      </c>
      <c r="D134">
        <v>4684</v>
      </c>
      <c r="E134">
        <v>4684</v>
      </c>
      <c r="F134">
        <v>4684</v>
      </c>
      <c r="G134">
        <v>14</v>
      </c>
      <c r="H134" s="2">
        <v>3.9725388601036289</v>
      </c>
      <c r="I134" s="1">
        <v>45612</v>
      </c>
      <c r="J134">
        <v>4684</v>
      </c>
      <c r="K134">
        <f t="shared" si="4"/>
        <v>0</v>
      </c>
      <c r="L134" t="str">
        <f t="shared" si="5"/>
        <v>Competitive</v>
      </c>
    </row>
    <row r="135" spans="1:12" x14ac:dyDescent="0.3">
      <c r="A135">
        <v>174</v>
      </c>
      <c r="B135" t="s">
        <v>18</v>
      </c>
      <c r="C135" t="s">
        <v>16</v>
      </c>
      <c r="D135">
        <v>3412</v>
      </c>
      <c r="E135">
        <v>3412</v>
      </c>
      <c r="F135">
        <v>3412</v>
      </c>
      <c r="G135">
        <v>145</v>
      </c>
      <c r="H135" s="2">
        <v>3.9725388601036289</v>
      </c>
      <c r="I135" s="1">
        <v>45615</v>
      </c>
      <c r="J135">
        <v>3412</v>
      </c>
      <c r="K135">
        <f t="shared" si="4"/>
        <v>0</v>
      </c>
      <c r="L135" t="str">
        <f t="shared" si="5"/>
        <v>Competitive</v>
      </c>
    </row>
    <row r="136" spans="1:12" x14ac:dyDescent="0.3">
      <c r="A136">
        <v>175</v>
      </c>
      <c r="B136" t="s">
        <v>15</v>
      </c>
      <c r="C136" t="s">
        <v>16</v>
      </c>
      <c r="D136">
        <v>2600</v>
      </c>
      <c r="E136">
        <v>2600</v>
      </c>
      <c r="F136">
        <v>2600</v>
      </c>
      <c r="G136">
        <v>231</v>
      </c>
      <c r="H136" s="2">
        <v>3.6</v>
      </c>
      <c r="I136" s="1">
        <v>45589</v>
      </c>
      <c r="J136">
        <v>2600</v>
      </c>
      <c r="K136">
        <f t="shared" si="4"/>
        <v>0</v>
      </c>
      <c r="L136" t="str">
        <f t="shared" si="5"/>
        <v>Competitive</v>
      </c>
    </row>
    <row r="137" spans="1:12" x14ac:dyDescent="0.3">
      <c r="A137">
        <v>176</v>
      </c>
      <c r="B137" t="s">
        <v>28</v>
      </c>
      <c r="C137" t="s">
        <v>19</v>
      </c>
      <c r="D137">
        <v>4683</v>
      </c>
      <c r="E137">
        <v>4625</v>
      </c>
      <c r="F137">
        <v>5216</v>
      </c>
      <c r="G137">
        <v>126</v>
      </c>
      <c r="H137" s="2">
        <v>3.9725388601036289</v>
      </c>
      <c r="I137" s="1">
        <v>45592</v>
      </c>
      <c r="J137">
        <v>4920.5</v>
      </c>
      <c r="K137">
        <f t="shared" si="4"/>
        <v>-237.5</v>
      </c>
      <c r="L137" t="str">
        <f t="shared" si="5"/>
        <v>Underpriced</v>
      </c>
    </row>
    <row r="138" spans="1:12" x14ac:dyDescent="0.3">
      <c r="A138">
        <v>177</v>
      </c>
      <c r="B138" t="s">
        <v>28</v>
      </c>
      <c r="C138" t="s">
        <v>12</v>
      </c>
      <c r="D138">
        <v>2478</v>
      </c>
      <c r="E138">
        <v>2478</v>
      </c>
      <c r="F138">
        <v>2478</v>
      </c>
      <c r="G138">
        <v>475</v>
      </c>
      <c r="H138" s="2">
        <v>3.3</v>
      </c>
      <c r="I138" s="1">
        <v>45618</v>
      </c>
      <c r="J138">
        <v>2478</v>
      </c>
      <c r="K138">
        <f t="shared" si="4"/>
        <v>0</v>
      </c>
      <c r="L138" t="str">
        <f t="shared" si="5"/>
        <v>Competitive</v>
      </c>
    </row>
    <row r="139" spans="1:12" x14ac:dyDescent="0.3">
      <c r="A139">
        <v>178</v>
      </c>
      <c r="B139" t="s">
        <v>13</v>
      </c>
      <c r="C139" t="s">
        <v>12</v>
      </c>
      <c r="D139">
        <v>5325</v>
      </c>
      <c r="E139">
        <v>5271</v>
      </c>
      <c r="F139">
        <v>5379</v>
      </c>
      <c r="G139">
        <v>365</v>
      </c>
      <c r="H139" s="2">
        <v>3.9725388601036289</v>
      </c>
      <c r="I139" s="1">
        <v>45565</v>
      </c>
      <c r="J139">
        <v>5325</v>
      </c>
      <c r="K139">
        <f t="shared" si="4"/>
        <v>0</v>
      </c>
      <c r="L139" t="str">
        <f t="shared" si="5"/>
        <v>Competitive</v>
      </c>
    </row>
    <row r="140" spans="1:12" x14ac:dyDescent="0.3">
      <c r="A140">
        <v>181</v>
      </c>
      <c r="B140" t="s">
        <v>31</v>
      </c>
      <c r="C140" t="s">
        <v>10</v>
      </c>
      <c r="D140">
        <v>4523</v>
      </c>
      <c r="E140">
        <v>3574</v>
      </c>
      <c r="F140">
        <v>3574</v>
      </c>
      <c r="G140">
        <v>411</v>
      </c>
      <c r="H140" s="2">
        <v>3.7</v>
      </c>
      <c r="I140" s="1">
        <v>45595</v>
      </c>
      <c r="J140">
        <v>3574</v>
      </c>
      <c r="K140">
        <f t="shared" si="4"/>
        <v>949</v>
      </c>
      <c r="L140" t="str">
        <f t="shared" si="5"/>
        <v>Overpriced</v>
      </c>
    </row>
    <row r="141" spans="1:12" x14ac:dyDescent="0.3">
      <c r="A141">
        <v>182</v>
      </c>
      <c r="B141" t="s">
        <v>25</v>
      </c>
      <c r="C141" t="s">
        <v>19</v>
      </c>
      <c r="D141">
        <v>4035</v>
      </c>
      <c r="E141">
        <v>4035</v>
      </c>
      <c r="F141">
        <v>4035</v>
      </c>
      <c r="G141">
        <v>162</v>
      </c>
      <c r="H141" s="2">
        <v>3.7</v>
      </c>
      <c r="I141" s="1">
        <v>45563</v>
      </c>
      <c r="J141">
        <v>4035</v>
      </c>
      <c r="K141">
        <f t="shared" si="4"/>
        <v>0</v>
      </c>
      <c r="L141" t="str">
        <f t="shared" si="5"/>
        <v>Competitive</v>
      </c>
    </row>
    <row r="142" spans="1:12" x14ac:dyDescent="0.3">
      <c r="A142">
        <v>183</v>
      </c>
      <c r="B142" t="s">
        <v>9</v>
      </c>
      <c r="C142" t="s">
        <v>14</v>
      </c>
      <c r="D142">
        <v>1590</v>
      </c>
      <c r="E142">
        <v>5484</v>
      </c>
      <c r="F142">
        <v>3657</v>
      </c>
      <c r="G142">
        <v>146</v>
      </c>
      <c r="H142" s="2">
        <v>3.9725388601036289</v>
      </c>
      <c r="I142" s="1">
        <v>45613</v>
      </c>
      <c r="J142">
        <v>4570.5</v>
      </c>
      <c r="K142">
        <f t="shared" si="4"/>
        <v>-2980.5</v>
      </c>
      <c r="L142" t="str">
        <f t="shared" si="5"/>
        <v>Underpriced</v>
      </c>
    </row>
    <row r="143" spans="1:12" x14ac:dyDescent="0.3">
      <c r="A143">
        <v>185</v>
      </c>
      <c r="B143" t="s">
        <v>27</v>
      </c>
      <c r="C143" t="s">
        <v>12</v>
      </c>
      <c r="D143">
        <v>2872</v>
      </c>
      <c r="E143">
        <v>2991</v>
      </c>
      <c r="F143">
        <v>2991</v>
      </c>
      <c r="G143">
        <v>378</v>
      </c>
      <c r="H143" s="2">
        <v>3.9725388601036289</v>
      </c>
      <c r="I143" s="1">
        <v>45539</v>
      </c>
      <c r="J143">
        <v>2991</v>
      </c>
      <c r="K143">
        <f t="shared" si="4"/>
        <v>-119</v>
      </c>
      <c r="L143" t="str">
        <f t="shared" si="5"/>
        <v>Underpriced</v>
      </c>
    </row>
    <row r="144" spans="1:12" x14ac:dyDescent="0.3">
      <c r="A144">
        <v>186</v>
      </c>
      <c r="B144" t="s">
        <v>33</v>
      </c>
      <c r="C144" t="s">
        <v>12</v>
      </c>
      <c r="D144">
        <v>1993</v>
      </c>
      <c r="E144">
        <v>5972</v>
      </c>
      <c r="F144">
        <v>5972</v>
      </c>
      <c r="G144">
        <v>204</v>
      </c>
      <c r="H144" s="2">
        <v>3.9725388601036289</v>
      </c>
      <c r="I144" s="1">
        <v>45547</v>
      </c>
      <c r="J144">
        <v>5972</v>
      </c>
      <c r="K144">
        <f t="shared" si="4"/>
        <v>-3979</v>
      </c>
      <c r="L144" t="str">
        <f t="shared" si="5"/>
        <v>Underpriced</v>
      </c>
    </row>
    <row r="145" spans="1:12" x14ac:dyDescent="0.3">
      <c r="A145">
        <v>187</v>
      </c>
      <c r="B145" t="s">
        <v>32</v>
      </c>
      <c r="C145" t="s">
        <v>10</v>
      </c>
      <c r="D145">
        <v>5013</v>
      </c>
      <c r="E145">
        <v>1347</v>
      </c>
      <c r="F145">
        <v>4172</v>
      </c>
      <c r="G145">
        <v>313</v>
      </c>
      <c r="H145" s="2">
        <v>3.6</v>
      </c>
      <c r="I145" s="1">
        <v>45589</v>
      </c>
      <c r="J145">
        <v>2759.5</v>
      </c>
      <c r="K145">
        <f t="shared" si="4"/>
        <v>2253.5</v>
      </c>
      <c r="L145" t="str">
        <f t="shared" si="5"/>
        <v>Overpriced</v>
      </c>
    </row>
    <row r="146" spans="1:12" x14ac:dyDescent="0.3">
      <c r="A146">
        <v>188</v>
      </c>
      <c r="B146" t="s">
        <v>23</v>
      </c>
      <c r="C146" t="s">
        <v>12</v>
      </c>
      <c r="D146">
        <v>1732</v>
      </c>
      <c r="E146">
        <v>1511</v>
      </c>
      <c r="F146">
        <v>407</v>
      </c>
      <c r="G146">
        <v>96</v>
      </c>
      <c r="H146" s="2">
        <v>3.9725388601036289</v>
      </c>
      <c r="I146" s="1">
        <v>45579</v>
      </c>
      <c r="J146">
        <v>959</v>
      </c>
      <c r="K146">
        <f t="shared" si="4"/>
        <v>773</v>
      </c>
      <c r="L146" t="str">
        <f t="shared" si="5"/>
        <v>Overpriced</v>
      </c>
    </row>
    <row r="147" spans="1:12" x14ac:dyDescent="0.3">
      <c r="A147">
        <v>189</v>
      </c>
      <c r="B147" t="s">
        <v>18</v>
      </c>
      <c r="C147" t="s">
        <v>10</v>
      </c>
      <c r="D147">
        <v>4139</v>
      </c>
      <c r="E147">
        <v>1085</v>
      </c>
      <c r="F147">
        <v>1085</v>
      </c>
      <c r="G147">
        <v>16</v>
      </c>
      <c r="H147" s="2">
        <v>3.9725388601036289</v>
      </c>
      <c r="I147" s="1">
        <v>45619</v>
      </c>
      <c r="J147">
        <v>1085</v>
      </c>
      <c r="K147">
        <f t="shared" si="4"/>
        <v>3054</v>
      </c>
      <c r="L147" t="str">
        <f t="shared" si="5"/>
        <v>Overpriced</v>
      </c>
    </row>
    <row r="148" spans="1:12" x14ac:dyDescent="0.3">
      <c r="A148">
        <v>190</v>
      </c>
      <c r="B148" t="s">
        <v>28</v>
      </c>
      <c r="C148" t="s">
        <v>19</v>
      </c>
      <c r="D148">
        <v>5634</v>
      </c>
      <c r="E148">
        <v>5634</v>
      </c>
      <c r="F148">
        <v>5634</v>
      </c>
      <c r="G148">
        <v>162</v>
      </c>
      <c r="H148" s="2">
        <v>3.9725388601036289</v>
      </c>
      <c r="I148" s="1">
        <v>45611</v>
      </c>
      <c r="J148">
        <v>5634</v>
      </c>
      <c r="K148">
        <f t="shared" si="4"/>
        <v>0</v>
      </c>
      <c r="L148" t="str">
        <f t="shared" si="5"/>
        <v>Competitive</v>
      </c>
    </row>
    <row r="149" spans="1:12" x14ac:dyDescent="0.3">
      <c r="A149">
        <v>191</v>
      </c>
      <c r="B149" t="s">
        <v>27</v>
      </c>
      <c r="C149" t="s">
        <v>12</v>
      </c>
      <c r="D149">
        <v>4404</v>
      </c>
      <c r="E149">
        <v>5110</v>
      </c>
      <c r="F149">
        <v>4057</v>
      </c>
      <c r="G149">
        <v>225</v>
      </c>
      <c r="H149" s="2">
        <v>4</v>
      </c>
      <c r="I149" s="1">
        <v>45624</v>
      </c>
      <c r="J149">
        <v>4583.5</v>
      </c>
      <c r="K149">
        <f t="shared" si="4"/>
        <v>-179.5</v>
      </c>
      <c r="L149" t="str">
        <f t="shared" si="5"/>
        <v>Underpriced</v>
      </c>
    </row>
    <row r="150" spans="1:12" x14ac:dyDescent="0.3">
      <c r="A150">
        <v>194</v>
      </c>
      <c r="B150" t="s">
        <v>13</v>
      </c>
      <c r="C150" t="s">
        <v>16</v>
      </c>
      <c r="D150">
        <v>3129</v>
      </c>
      <c r="E150">
        <v>1385</v>
      </c>
      <c r="F150">
        <v>1385</v>
      </c>
      <c r="G150">
        <v>84</v>
      </c>
      <c r="H150" s="2">
        <v>3.9725388601036289</v>
      </c>
      <c r="I150" s="1">
        <v>45551</v>
      </c>
      <c r="J150">
        <v>1385</v>
      </c>
      <c r="K150">
        <f t="shared" si="4"/>
        <v>1744</v>
      </c>
      <c r="L150" t="str">
        <f t="shared" si="5"/>
        <v>Overpriced</v>
      </c>
    </row>
    <row r="151" spans="1:12" x14ac:dyDescent="0.3">
      <c r="A151">
        <v>195</v>
      </c>
      <c r="B151" t="s">
        <v>28</v>
      </c>
      <c r="C151" t="s">
        <v>16</v>
      </c>
      <c r="D151">
        <v>5371</v>
      </c>
      <c r="E151">
        <v>5371</v>
      </c>
      <c r="F151">
        <v>5371</v>
      </c>
      <c r="G151">
        <v>173</v>
      </c>
      <c r="H151" s="2">
        <v>3.9725388601036289</v>
      </c>
      <c r="I151" s="1">
        <v>45597</v>
      </c>
      <c r="J151">
        <v>5371</v>
      </c>
      <c r="K151">
        <f t="shared" si="4"/>
        <v>0</v>
      </c>
      <c r="L151" t="str">
        <f t="shared" si="5"/>
        <v>Competitive</v>
      </c>
    </row>
    <row r="152" spans="1:12" x14ac:dyDescent="0.3">
      <c r="A152">
        <v>196</v>
      </c>
      <c r="B152" t="s">
        <v>28</v>
      </c>
      <c r="C152" t="s">
        <v>14</v>
      </c>
      <c r="D152">
        <v>4473</v>
      </c>
      <c r="E152">
        <v>4383</v>
      </c>
      <c r="F152">
        <v>4383</v>
      </c>
      <c r="G152">
        <v>425</v>
      </c>
      <c r="H152" s="2">
        <v>3.9725388601036289</v>
      </c>
      <c r="I152" s="1">
        <v>45601</v>
      </c>
      <c r="J152">
        <v>4383</v>
      </c>
      <c r="K152">
        <f t="shared" si="4"/>
        <v>90</v>
      </c>
      <c r="L152" t="str">
        <f t="shared" si="5"/>
        <v>Competitive</v>
      </c>
    </row>
    <row r="153" spans="1:12" x14ac:dyDescent="0.3">
      <c r="A153">
        <v>197</v>
      </c>
      <c r="B153" t="s">
        <v>13</v>
      </c>
      <c r="C153" t="s">
        <v>10</v>
      </c>
      <c r="D153">
        <v>4040</v>
      </c>
      <c r="E153">
        <v>4040</v>
      </c>
      <c r="F153">
        <v>4040</v>
      </c>
      <c r="G153">
        <v>35</v>
      </c>
      <c r="H153" s="2">
        <v>3.3</v>
      </c>
      <c r="I153" s="1">
        <v>45618</v>
      </c>
      <c r="J153">
        <v>4040</v>
      </c>
      <c r="K153">
        <f t="shared" si="4"/>
        <v>0</v>
      </c>
      <c r="L153" t="str">
        <f t="shared" si="5"/>
        <v>Competitive</v>
      </c>
    </row>
    <row r="154" spans="1:12" x14ac:dyDescent="0.3">
      <c r="A154">
        <v>198</v>
      </c>
      <c r="B154" t="s">
        <v>17</v>
      </c>
      <c r="C154" t="s">
        <v>16</v>
      </c>
      <c r="D154">
        <v>3352</v>
      </c>
      <c r="E154">
        <v>1587</v>
      </c>
      <c r="F154">
        <v>5117</v>
      </c>
      <c r="G154">
        <v>487</v>
      </c>
      <c r="H154" s="2">
        <v>3.3</v>
      </c>
      <c r="I154" s="1">
        <v>45574</v>
      </c>
      <c r="J154">
        <v>3352</v>
      </c>
      <c r="K154">
        <f t="shared" si="4"/>
        <v>0</v>
      </c>
      <c r="L154" t="str">
        <f t="shared" si="5"/>
        <v>Competitive</v>
      </c>
    </row>
    <row r="155" spans="1:12" x14ac:dyDescent="0.3">
      <c r="A155">
        <v>199</v>
      </c>
      <c r="B155" t="s">
        <v>11</v>
      </c>
      <c r="C155" t="s">
        <v>19</v>
      </c>
      <c r="D155">
        <v>3578</v>
      </c>
      <c r="E155">
        <v>3259</v>
      </c>
      <c r="F155">
        <v>3259</v>
      </c>
      <c r="G155">
        <v>418</v>
      </c>
      <c r="H155" s="2">
        <v>3.9725388601036289</v>
      </c>
      <c r="I155" s="1">
        <v>45606</v>
      </c>
      <c r="J155">
        <v>3259</v>
      </c>
      <c r="K155">
        <f t="shared" si="4"/>
        <v>319</v>
      </c>
      <c r="L155" t="str">
        <f t="shared" si="5"/>
        <v>Overpriced</v>
      </c>
    </row>
    <row r="156" spans="1:12" x14ac:dyDescent="0.3">
      <c r="A156">
        <v>200</v>
      </c>
      <c r="B156" t="s">
        <v>17</v>
      </c>
      <c r="C156" t="s">
        <v>19</v>
      </c>
      <c r="D156">
        <v>4211.5</v>
      </c>
      <c r="E156">
        <v>3820</v>
      </c>
      <c r="F156">
        <v>4603</v>
      </c>
      <c r="G156">
        <v>40</v>
      </c>
      <c r="H156" s="2">
        <v>3.9725388601036289</v>
      </c>
      <c r="I156" s="1">
        <v>45616</v>
      </c>
      <c r="J156">
        <v>4211.5</v>
      </c>
      <c r="K156">
        <f t="shared" si="4"/>
        <v>0</v>
      </c>
      <c r="L156" t="str">
        <f t="shared" si="5"/>
        <v>Competitive</v>
      </c>
    </row>
    <row r="157" spans="1:12" x14ac:dyDescent="0.3">
      <c r="A157">
        <v>201</v>
      </c>
      <c r="B157" t="s">
        <v>18</v>
      </c>
      <c r="C157" t="s">
        <v>14</v>
      </c>
      <c r="D157">
        <v>1589</v>
      </c>
      <c r="E157">
        <v>1225</v>
      </c>
      <c r="F157">
        <v>1225</v>
      </c>
      <c r="G157">
        <v>288</v>
      </c>
      <c r="H157" s="2">
        <v>3.9725388601036289</v>
      </c>
      <c r="I157" s="1">
        <v>45613</v>
      </c>
      <c r="J157">
        <v>1225</v>
      </c>
      <c r="K157">
        <f t="shared" si="4"/>
        <v>364</v>
      </c>
      <c r="L157" t="str">
        <f t="shared" si="5"/>
        <v>Overpriced</v>
      </c>
    </row>
    <row r="158" spans="1:12" x14ac:dyDescent="0.3">
      <c r="A158">
        <v>202</v>
      </c>
      <c r="B158" t="s">
        <v>21</v>
      </c>
      <c r="C158" t="s">
        <v>10</v>
      </c>
      <c r="D158">
        <v>3942</v>
      </c>
      <c r="E158">
        <v>1969</v>
      </c>
      <c r="F158">
        <v>5915</v>
      </c>
      <c r="G158">
        <v>83</v>
      </c>
      <c r="H158" s="2">
        <v>4.4000000000000004</v>
      </c>
      <c r="I158" s="1">
        <v>45604</v>
      </c>
      <c r="J158">
        <v>3942</v>
      </c>
      <c r="K158">
        <f t="shared" si="4"/>
        <v>0</v>
      </c>
      <c r="L158" t="str">
        <f t="shared" si="5"/>
        <v>Competitive</v>
      </c>
    </row>
    <row r="159" spans="1:12" x14ac:dyDescent="0.3">
      <c r="A159">
        <v>203</v>
      </c>
      <c r="B159" t="s">
        <v>31</v>
      </c>
      <c r="C159" t="s">
        <v>19</v>
      </c>
      <c r="D159">
        <v>4530</v>
      </c>
      <c r="E159">
        <v>3405</v>
      </c>
      <c r="F159">
        <v>3405</v>
      </c>
      <c r="G159">
        <v>349</v>
      </c>
      <c r="H159" s="2">
        <v>3.8</v>
      </c>
      <c r="I159" s="1">
        <v>45572</v>
      </c>
      <c r="J159">
        <v>3405</v>
      </c>
      <c r="K159">
        <f t="shared" si="4"/>
        <v>1125</v>
      </c>
      <c r="L159" t="str">
        <f t="shared" si="5"/>
        <v>Overpriced</v>
      </c>
    </row>
    <row r="160" spans="1:12" x14ac:dyDescent="0.3">
      <c r="A160">
        <v>204</v>
      </c>
      <c r="B160" t="s">
        <v>30</v>
      </c>
      <c r="C160" t="s">
        <v>16</v>
      </c>
      <c r="D160">
        <v>3649.5</v>
      </c>
      <c r="E160">
        <v>3554</v>
      </c>
      <c r="F160">
        <v>3745</v>
      </c>
      <c r="G160">
        <v>280</v>
      </c>
      <c r="H160" s="2">
        <v>3.9725388601036289</v>
      </c>
      <c r="I160" s="1">
        <v>45604</v>
      </c>
      <c r="J160">
        <v>3649.5</v>
      </c>
      <c r="K160">
        <f t="shared" si="4"/>
        <v>0</v>
      </c>
      <c r="L160" t="str">
        <f t="shared" si="5"/>
        <v>Competitive</v>
      </c>
    </row>
    <row r="161" spans="1:12" x14ac:dyDescent="0.3">
      <c r="A161">
        <v>205</v>
      </c>
      <c r="B161" t="s">
        <v>26</v>
      </c>
      <c r="C161" t="s">
        <v>14</v>
      </c>
      <c r="D161">
        <v>4734</v>
      </c>
      <c r="E161">
        <v>4734</v>
      </c>
      <c r="F161">
        <v>4734</v>
      </c>
      <c r="G161">
        <v>404</v>
      </c>
      <c r="H161" s="2">
        <v>4</v>
      </c>
      <c r="I161" s="1">
        <v>45590</v>
      </c>
      <c r="J161">
        <v>4734</v>
      </c>
      <c r="K161">
        <f t="shared" si="4"/>
        <v>0</v>
      </c>
      <c r="L161" t="str">
        <f t="shared" si="5"/>
        <v>Competitive</v>
      </c>
    </row>
    <row r="162" spans="1:12" x14ac:dyDescent="0.3">
      <c r="A162">
        <v>206</v>
      </c>
      <c r="B162" t="s">
        <v>17</v>
      </c>
      <c r="C162" t="s">
        <v>10</v>
      </c>
      <c r="D162">
        <v>4951</v>
      </c>
      <c r="E162">
        <v>4951</v>
      </c>
      <c r="F162">
        <v>4951</v>
      </c>
      <c r="G162">
        <v>285</v>
      </c>
      <c r="H162" s="2">
        <v>3.7</v>
      </c>
      <c r="I162" s="1">
        <v>45559</v>
      </c>
      <c r="J162">
        <v>4951</v>
      </c>
      <c r="K162">
        <f t="shared" si="4"/>
        <v>0</v>
      </c>
      <c r="L162" t="str">
        <f t="shared" si="5"/>
        <v>Competitive</v>
      </c>
    </row>
    <row r="163" spans="1:12" x14ac:dyDescent="0.3">
      <c r="A163">
        <v>207</v>
      </c>
      <c r="B163" t="s">
        <v>30</v>
      </c>
      <c r="C163" t="s">
        <v>14</v>
      </c>
      <c r="D163">
        <v>2296</v>
      </c>
      <c r="E163">
        <v>2608</v>
      </c>
      <c r="F163">
        <v>2608</v>
      </c>
      <c r="G163">
        <v>455</v>
      </c>
      <c r="H163" s="2">
        <v>3.9725388601036289</v>
      </c>
      <c r="I163" s="1">
        <v>45565</v>
      </c>
      <c r="J163">
        <v>2608</v>
      </c>
      <c r="K163">
        <f t="shared" si="4"/>
        <v>-312</v>
      </c>
      <c r="L163" t="str">
        <f t="shared" si="5"/>
        <v>Underpriced</v>
      </c>
    </row>
    <row r="164" spans="1:12" x14ac:dyDescent="0.3">
      <c r="A164">
        <v>208</v>
      </c>
      <c r="B164" t="s">
        <v>25</v>
      </c>
      <c r="C164" t="s">
        <v>19</v>
      </c>
      <c r="D164">
        <v>5994</v>
      </c>
      <c r="E164">
        <v>1831</v>
      </c>
      <c r="F164">
        <v>5274</v>
      </c>
      <c r="G164">
        <v>331</v>
      </c>
      <c r="H164" s="2">
        <v>3.7</v>
      </c>
      <c r="I164" s="1">
        <v>45588</v>
      </c>
      <c r="J164">
        <v>3552.5</v>
      </c>
      <c r="K164">
        <f t="shared" si="4"/>
        <v>2441.5</v>
      </c>
      <c r="L164" t="str">
        <f t="shared" si="5"/>
        <v>Overpriced</v>
      </c>
    </row>
    <row r="165" spans="1:12" x14ac:dyDescent="0.3">
      <c r="A165">
        <v>209</v>
      </c>
      <c r="B165" t="s">
        <v>17</v>
      </c>
      <c r="C165" t="s">
        <v>19</v>
      </c>
      <c r="D165">
        <v>5192</v>
      </c>
      <c r="E165">
        <v>5569</v>
      </c>
      <c r="F165">
        <v>4815</v>
      </c>
      <c r="G165">
        <v>115</v>
      </c>
      <c r="H165" s="2">
        <v>3.9725388601036289</v>
      </c>
      <c r="I165" s="1">
        <v>45593</v>
      </c>
      <c r="J165">
        <v>5192</v>
      </c>
      <c r="K165">
        <f t="shared" si="4"/>
        <v>0</v>
      </c>
      <c r="L165" t="str">
        <f t="shared" si="5"/>
        <v>Competitive</v>
      </c>
    </row>
    <row r="166" spans="1:12" x14ac:dyDescent="0.3">
      <c r="A166">
        <v>210</v>
      </c>
      <c r="B166" t="s">
        <v>29</v>
      </c>
      <c r="C166" t="s">
        <v>12</v>
      </c>
      <c r="D166">
        <v>5989</v>
      </c>
      <c r="E166">
        <v>5493</v>
      </c>
      <c r="F166">
        <v>873</v>
      </c>
      <c r="G166">
        <v>468</v>
      </c>
      <c r="H166" s="2">
        <v>3.9725388601036289</v>
      </c>
      <c r="I166" s="1">
        <v>45599</v>
      </c>
      <c r="J166">
        <v>3183</v>
      </c>
      <c r="K166">
        <f t="shared" si="4"/>
        <v>2806</v>
      </c>
      <c r="L166" t="str">
        <f t="shared" si="5"/>
        <v>Overpriced</v>
      </c>
    </row>
    <row r="167" spans="1:12" x14ac:dyDescent="0.3">
      <c r="A167">
        <v>211</v>
      </c>
      <c r="B167" t="s">
        <v>15</v>
      </c>
      <c r="C167" t="s">
        <v>14</v>
      </c>
      <c r="D167">
        <v>305</v>
      </c>
      <c r="E167">
        <v>912</v>
      </c>
      <c r="F167">
        <v>912</v>
      </c>
      <c r="G167">
        <v>178</v>
      </c>
      <c r="H167" s="2">
        <v>3.9725388601036289</v>
      </c>
      <c r="I167" s="1">
        <v>45586</v>
      </c>
      <c r="J167">
        <v>912</v>
      </c>
      <c r="K167">
        <f t="shared" si="4"/>
        <v>-607</v>
      </c>
      <c r="L167" t="str">
        <f t="shared" si="5"/>
        <v>Underpriced</v>
      </c>
    </row>
    <row r="168" spans="1:12" x14ac:dyDescent="0.3">
      <c r="A168">
        <v>212</v>
      </c>
      <c r="B168" t="s">
        <v>31</v>
      </c>
      <c r="C168" t="s">
        <v>10</v>
      </c>
      <c r="D168">
        <v>2675</v>
      </c>
      <c r="E168">
        <v>265</v>
      </c>
      <c r="F168">
        <v>265</v>
      </c>
      <c r="G168">
        <v>299</v>
      </c>
      <c r="H168" s="2">
        <v>3.9725388601036289</v>
      </c>
      <c r="I168" s="1">
        <v>45594</v>
      </c>
      <c r="J168">
        <v>265</v>
      </c>
      <c r="K168">
        <f t="shared" si="4"/>
        <v>2410</v>
      </c>
      <c r="L168" t="str">
        <f t="shared" si="5"/>
        <v>Overpriced</v>
      </c>
    </row>
    <row r="169" spans="1:12" x14ac:dyDescent="0.3">
      <c r="A169">
        <v>213</v>
      </c>
      <c r="B169" t="s">
        <v>13</v>
      </c>
      <c r="C169" t="s">
        <v>12</v>
      </c>
      <c r="D169">
        <v>5023</v>
      </c>
      <c r="E169">
        <v>286</v>
      </c>
      <c r="F169">
        <v>286</v>
      </c>
      <c r="G169">
        <v>438</v>
      </c>
      <c r="H169" s="2">
        <v>4.3</v>
      </c>
      <c r="I169" s="1">
        <v>45567</v>
      </c>
      <c r="J169">
        <v>286</v>
      </c>
      <c r="K169">
        <f t="shared" si="4"/>
        <v>4737</v>
      </c>
      <c r="L169" t="str">
        <f t="shared" si="5"/>
        <v>Overpriced</v>
      </c>
    </row>
    <row r="170" spans="1:12" x14ac:dyDescent="0.3">
      <c r="A170">
        <v>215</v>
      </c>
      <c r="B170" t="s">
        <v>15</v>
      </c>
      <c r="C170" t="s">
        <v>10</v>
      </c>
      <c r="D170">
        <v>5066</v>
      </c>
      <c r="E170">
        <v>4579</v>
      </c>
      <c r="F170">
        <v>5036</v>
      </c>
      <c r="G170">
        <v>242</v>
      </c>
      <c r="H170" s="2">
        <v>3.9725388601036289</v>
      </c>
      <c r="I170" s="1">
        <v>45601</v>
      </c>
      <c r="J170">
        <v>4807.5</v>
      </c>
      <c r="K170">
        <f t="shared" si="4"/>
        <v>258.5</v>
      </c>
      <c r="L170" t="str">
        <f t="shared" si="5"/>
        <v>Overpriced</v>
      </c>
    </row>
    <row r="171" spans="1:12" x14ac:dyDescent="0.3">
      <c r="A171">
        <v>217</v>
      </c>
      <c r="B171" t="s">
        <v>13</v>
      </c>
      <c r="C171" t="s">
        <v>14</v>
      </c>
      <c r="D171">
        <v>3919</v>
      </c>
      <c r="E171">
        <v>4239</v>
      </c>
      <c r="F171">
        <v>911</v>
      </c>
      <c r="G171">
        <v>429</v>
      </c>
      <c r="H171" s="2">
        <v>3.9725388601036289</v>
      </c>
      <c r="I171" s="1">
        <v>45582</v>
      </c>
      <c r="J171">
        <v>2575</v>
      </c>
      <c r="K171">
        <f t="shared" si="4"/>
        <v>1344</v>
      </c>
      <c r="L171" t="str">
        <f t="shared" si="5"/>
        <v>Overpriced</v>
      </c>
    </row>
    <row r="172" spans="1:12" x14ac:dyDescent="0.3">
      <c r="A172">
        <v>218</v>
      </c>
      <c r="B172" t="s">
        <v>13</v>
      </c>
      <c r="C172" t="s">
        <v>14</v>
      </c>
      <c r="D172">
        <v>4292</v>
      </c>
      <c r="E172">
        <v>531</v>
      </c>
      <c r="F172">
        <v>531</v>
      </c>
      <c r="G172">
        <v>372</v>
      </c>
      <c r="H172" s="2">
        <v>3.9725388601036289</v>
      </c>
      <c r="I172" s="1">
        <v>45536</v>
      </c>
      <c r="J172">
        <v>531</v>
      </c>
      <c r="K172">
        <f t="shared" si="4"/>
        <v>3761</v>
      </c>
      <c r="L172" t="str">
        <f t="shared" si="5"/>
        <v>Overpriced</v>
      </c>
    </row>
    <row r="173" spans="1:12" x14ac:dyDescent="0.3">
      <c r="A173">
        <v>219</v>
      </c>
      <c r="B173" t="s">
        <v>28</v>
      </c>
      <c r="C173" t="s">
        <v>14</v>
      </c>
      <c r="D173">
        <v>3764</v>
      </c>
      <c r="E173">
        <v>3764</v>
      </c>
      <c r="F173">
        <v>3764</v>
      </c>
      <c r="G173">
        <v>403</v>
      </c>
      <c r="H173" s="2">
        <v>3.9725388601036289</v>
      </c>
      <c r="I173" s="1">
        <v>45614</v>
      </c>
      <c r="J173">
        <v>3764</v>
      </c>
      <c r="K173">
        <f t="shared" si="4"/>
        <v>0</v>
      </c>
      <c r="L173" t="str">
        <f t="shared" si="5"/>
        <v>Competitive</v>
      </c>
    </row>
    <row r="174" spans="1:12" x14ac:dyDescent="0.3">
      <c r="A174">
        <v>220</v>
      </c>
      <c r="B174" t="s">
        <v>26</v>
      </c>
      <c r="C174" t="s">
        <v>19</v>
      </c>
      <c r="D174">
        <v>3257</v>
      </c>
      <c r="E174">
        <v>1620</v>
      </c>
      <c r="F174">
        <v>3890</v>
      </c>
      <c r="G174">
        <v>497</v>
      </c>
      <c r="H174" s="2">
        <v>3.6</v>
      </c>
      <c r="I174" s="1">
        <v>45576</v>
      </c>
      <c r="J174">
        <v>2755</v>
      </c>
      <c r="K174">
        <f t="shared" si="4"/>
        <v>502</v>
      </c>
      <c r="L174" t="str">
        <f t="shared" si="5"/>
        <v>Overpriced</v>
      </c>
    </row>
    <row r="175" spans="1:12" x14ac:dyDescent="0.3">
      <c r="A175">
        <v>222</v>
      </c>
      <c r="B175" t="s">
        <v>33</v>
      </c>
      <c r="C175" t="s">
        <v>14</v>
      </c>
      <c r="D175">
        <v>3810</v>
      </c>
      <c r="E175">
        <v>3810</v>
      </c>
      <c r="F175">
        <v>3810</v>
      </c>
      <c r="G175">
        <v>424</v>
      </c>
      <c r="H175" s="2">
        <v>4.0999999999999996</v>
      </c>
      <c r="I175" s="1">
        <v>45570</v>
      </c>
      <c r="J175">
        <v>3810</v>
      </c>
      <c r="K175">
        <f t="shared" si="4"/>
        <v>0</v>
      </c>
      <c r="L175" t="str">
        <f t="shared" si="5"/>
        <v>Competitive</v>
      </c>
    </row>
    <row r="176" spans="1:12" x14ac:dyDescent="0.3">
      <c r="A176">
        <v>225</v>
      </c>
      <c r="B176" t="s">
        <v>23</v>
      </c>
      <c r="C176" t="s">
        <v>19</v>
      </c>
      <c r="D176">
        <v>3566</v>
      </c>
      <c r="E176">
        <v>1430</v>
      </c>
      <c r="F176">
        <v>1430</v>
      </c>
      <c r="G176">
        <v>26</v>
      </c>
      <c r="H176" s="2">
        <v>3.9725388601036289</v>
      </c>
      <c r="I176" s="1">
        <v>45611</v>
      </c>
      <c r="J176">
        <v>1430</v>
      </c>
      <c r="K176">
        <f t="shared" si="4"/>
        <v>2136</v>
      </c>
      <c r="L176" t="str">
        <f t="shared" si="5"/>
        <v>Overpriced</v>
      </c>
    </row>
    <row r="177" spans="1:12" x14ac:dyDescent="0.3">
      <c r="A177">
        <v>227</v>
      </c>
      <c r="B177" t="s">
        <v>31</v>
      </c>
      <c r="C177" t="s">
        <v>16</v>
      </c>
      <c r="D177">
        <v>5251</v>
      </c>
      <c r="E177">
        <v>5289</v>
      </c>
      <c r="F177">
        <v>5289</v>
      </c>
      <c r="G177">
        <v>372</v>
      </c>
      <c r="H177" s="2">
        <v>3.6</v>
      </c>
      <c r="I177" s="1">
        <v>45603</v>
      </c>
      <c r="J177">
        <v>5289</v>
      </c>
      <c r="K177">
        <f t="shared" si="4"/>
        <v>-38</v>
      </c>
      <c r="L177" t="str">
        <f t="shared" si="5"/>
        <v>Competitive</v>
      </c>
    </row>
    <row r="178" spans="1:12" x14ac:dyDescent="0.3">
      <c r="A178">
        <v>228</v>
      </c>
      <c r="B178" t="s">
        <v>33</v>
      </c>
      <c r="C178" t="s">
        <v>14</v>
      </c>
      <c r="D178">
        <v>1773</v>
      </c>
      <c r="E178">
        <v>360</v>
      </c>
      <c r="F178">
        <v>3186</v>
      </c>
      <c r="G178">
        <v>412</v>
      </c>
      <c r="H178" s="2">
        <v>4.5999999999999996</v>
      </c>
      <c r="I178" s="1">
        <v>45583</v>
      </c>
      <c r="J178">
        <v>1773</v>
      </c>
      <c r="K178">
        <f t="shared" si="4"/>
        <v>0</v>
      </c>
      <c r="L178" t="str">
        <f t="shared" si="5"/>
        <v>Competitive</v>
      </c>
    </row>
    <row r="179" spans="1:12" x14ac:dyDescent="0.3">
      <c r="A179">
        <v>229</v>
      </c>
      <c r="B179" t="s">
        <v>9</v>
      </c>
      <c r="C179" t="s">
        <v>12</v>
      </c>
      <c r="D179">
        <v>5789</v>
      </c>
      <c r="E179">
        <v>5789</v>
      </c>
      <c r="F179">
        <v>5789</v>
      </c>
      <c r="G179">
        <v>294</v>
      </c>
      <c r="H179" s="2">
        <v>3.8</v>
      </c>
      <c r="I179" s="1">
        <v>45576</v>
      </c>
      <c r="J179">
        <v>5789</v>
      </c>
      <c r="K179">
        <f t="shared" si="4"/>
        <v>0</v>
      </c>
      <c r="L179" t="str">
        <f t="shared" si="5"/>
        <v>Competitive</v>
      </c>
    </row>
    <row r="180" spans="1:12" x14ac:dyDescent="0.3">
      <c r="A180">
        <v>230</v>
      </c>
      <c r="B180" t="s">
        <v>31</v>
      </c>
      <c r="C180" t="s">
        <v>16</v>
      </c>
      <c r="D180">
        <v>1910</v>
      </c>
      <c r="E180">
        <v>921</v>
      </c>
      <c r="F180">
        <v>2899</v>
      </c>
      <c r="G180">
        <v>310</v>
      </c>
      <c r="H180" s="2">
        <v>3.8</v>
      </c>
      <c r="I180" s="1">
        <v>45603</v>
      </c>
      <c r="J180">
        <v>1910</v>
      </c>
      <c r="K180">
        <f t="shared" si="4"/>
        <v>0</v>
      </c>
      <c r="L180" t="str">
        <f t="shared" si="5"/>
        <v>Competitive</v>
      </c>
    </row>
    <row r="181" spans="1:12" x14ac:dyDescent="0.3">
      <c r="A181">
        <v>231</v>
      </c>
      <c r="B181" t="s">
        <v>13</v>
      </c>
      <c r="C181" t="s">
        <v>14</v>
      </c>
      <c r="D181">
        <v>3853</v>
      </c>
      <c r="E181">
        <v>3853</v>
      </c>
      <c r="F181">
        <v>3853</v>
      </c>
      <c r="G181">
        <v>231</v>
      </c>
      <c r="H181" s="2">
        <v>4.5</v>
      </c>
      <c r="I181" s="1">
        <v>45617</v>
      </c>
      <c r="J181">
        <v>3853</v>
      </c>
      <c r="K181">
        <f t="shared" si="4"/>
        <v>0</v>
      </c>
      <c r="L181" t="str">
        <f t="shared" si="5"/>
        <v>Competitive</v>
      </c>
    </row>
    <row r="182" spans="1:12" x14ac:dyDescent="0.3">
      <c r="A182">
        <v>232</v>
      </c>
      <c r="B182" t="s">
        <v>33</v>
      </c>
      <c r="C182" t="s">
        <v>12</v>
      </c>
      <c r="D182">
        <v>602</v>
      </c>
      <c r="E182">
        <v>602</v>
      </c>
      <c r="F182">
        <v>602</v>
      </c>
      <c r="G182">
        <v>34</v>
      </c>
      <c r="H182" s="2">
        <v>3.9725388601036289</v>
      </c>
      <c r="I182" s="1">
        <v>45611</v>
      </c>
      <c r="J182">
        <v>602</v>
      </c>
      <c r="K182">
        <f t="shared" si="4"/>
        <v>0</v>
      </c>
      <c r="L182" t="str">
        <f t="shared" si="5"/>
        <v>Competitive</v>
      </c>
    </row>
    <row r="183" spans="1:12" x14ac:dyDescent="0.3">
      <c r="A183">
        <v>233</v>
      </c>
      <c r="B183" t="s">
        <v>9</v>
      </c>
      <c r="C183" t="s">
        <v>19</v>
      </c>
      <c r="D183">
        <v>1487</v>
      </c>
      <c r="E183">
        <v>1272</v>
      </c>
      <c r="F183">
        <v>1272</v>
      </c>
      <c r="G183">
        <v>495</v>
      </c>
      <c r="H183" s="2">
        <v>3.9725388601036289</v>
      </c>
      <c r="I183" s="1">
        <v>45553</v>
      </c>
      <c r="J183">
        <v>1272</v>
      </c>
      <c r="K183">
        <f t="shared" si="4"/>
        <v>215</v>
      </c>
      <c r="L183" t="str">
        <f t="shared" si="5"/>
        <v>Overpriced</v>
      </c>
    </row>
    <row r="184" spans="1:12" x14ac:dyDescent="0.3">
      <c r="A184">
        <v>234</v>
      </c>
      <c r="B184" t="s">
        <v>23</v>
      </c>
      <c r="C184" t="s">
        <v>12</v>
      </c>
      <c r="D184">
        <v>3486</v>
      </c>
      <c r="E184">
        <v>3486</v>
      </c>
      <c r="F184">
        <v>3486</v>
      </c>
      <c r="G184">
        <v>347</v>
      </c>
      <c r="H184" s="2">
        <v>3.9</v>
      </c>
      <c r="I184" s="1">
        <v>45605</v>
      </c>
      <c r="J184">
        <v>3486</v>
      </c>
      <c r="K184">
        <f t="shared" si="4"/>
        <v>0</v>
      </c>
      <c r="L184" t="str">
        <f t="shared" si="5"/>
        <v>Competitive</v>
      </c>
    </row>
    <row r="185" spans="1:12" x14ac:dyDescent="0.3">
      <c r="A185">
        <v>235</v>
      </c>
      <c r="B185" t="s">
        <v>18</v>
      </c>
      <c r="C185" t="s">
        <v>16</v>
      </c>
      <c r="D185">
        <v>2885</v>
      </c>
      <c r="E185">
        <v>2951</v>
      </c>
      <c r="F185">
        <v>2363</v>
      </c>
      <c r="G185">
        <v>359</v>
      </c>
      <c r="H185" s="2">
        <v>3.2</v>
      </c>
      <c r="I185" s="1">
        <v>45620</v>
      </c>
      <c r="J185">
        <v>2657</v>
      </c>
      <c r="K185">
        <f t="shared" si="4"/>
        <v>228</v>
      </c>
      <c r="L185" t="str">
        <f t="shared" si="5"/>
        <v>Overpriced</v>
      </c>
    </row>
    <row r="186" spans="1:12" x14ac:dyDescent="0.3">
      <c r="A186">
        <v>237</v>
      </c>
      <c r="B186" t="s">
        <v>27</v>
      </c>
      <c r="C186" t="s">
        <v>16</v>
      </c>
      <c r="D186">
        <v>1838</v>
      </c>
      <c r="E186">
        <v>1838</v>
      </c>
      <c r="F186">
        <v>1838</v>
      </c>
      <c r="G186">
        <v>87</v>
      </c>
      <c r="H186" s="2">
        <v>3</v>
      </c>
      <c r="I186" s="1">
        <v>45590</v>
      </c>
      <c r="J186">
        <v>1838</v>
      </c>
      <c r="K186">
        <f t="shared" si="4"/>
        <v>0</v>
      </c>
      <c r="L186" t="str">
        <f t="shared" si="5"/>
        <v>Competitive</v>
      </c>
    </row>
    <row r="187" spans="1:12" x14ac:dyDescent="0.3">
      <c r="A187">
        <v>238</v>
      </c>
      <c r="B187" t="s">
        <v>26</v>
      </c>
      <c r="C187" t="s">
        <v>12</v>
      </c>
      <c r="D187">
        <v>2557</v>
      </c>
      <c r="E187">
        <v>3950</v>
      </c>
      <c r="F187">
        <v>1164</v>
      </c>
      <c r="G187">
        <v>254</v>
      </c>
      <c r="H187" s="2">
        <v>4.7</v>
      </c>
      <c r="I187" s="1">
        <v>45540</v>
      </c>
      <c r="J187">
        <v>2557</v>
      </c>
      <c r="K187">
        <f t="shared" si="4"/>
        <v>0</v>
      </c>
      <c r="L187" t="str">
        <f t="shared" si="5"/>
        <v>Competitive</v>
      </c>
    </row>
    <row r="188" spans="1:12" x14ac:dyDescent="0.3">
      <c r="A188">
        <v>240</v>
      </c>
      <c r="B188" t="s">
        <v>31</v>
      </c>
      <c r="C188" t="s">
        <v>16</v>
      </c>
      <c r="D188">
        <v>5451</v>
      </c>
      <c r="E188">
        <v>4588</v>
      </c>
      <c r="F188">
        <v>1293</v>
      </c>
      <c r="G188">
        <v>359</v>
      </c>
      <c r="H188" s="2">
        <v>3.9725388601036289</v>
      </c>
      <c r="I188" s="1">
        <v>45590</v>
      </c>
      <c r="J188">
        <v>2940.5</v>
      </c>
      <c r="K188">
        <f t="shared" si="4"/>
        <v>2510.5</v>
      </c>
      <c r="L188" t="str">
        <f t="shared" si="5"/>
        <v>Overpriced</v>
      </c>
    </row>
    <row r="189" spans="1:12" x14ac:dyDescent="0.3">
      <c r="A189">
        <v>242</v>
      </c>
      <c r="B189" t="s">
        <v>21</v>
      </c>
      <c r="C189" t="s">
        <v>19</v>
      </c>
      <c r="D189">
        <v>3809</v>
      </c>
      <c r="E189">
        <v>2444</v>
      </c>
      <c r="F189">
        <v>2444</v>
      </c>
      <c r="G189">
        <v>463</v>
      </c>
      <c r="H189" s="2">
        <v>4.0999999999999996</v>
      </c>
      <c r="I189" s="1">
        <v>45544</v>
      </c>
      <c r="J189">
        <v>2444</v>
      </c>
      <c r="K189">
        <f t="shared" si="4"/>
        <v>1365</v>
      </c>
      <c r="L189" t="str">
        <f t="shared" si="5"/>
        <v>Overpriced</v>
      </c>
    </row>
    <row r="190" spans="1:12" x14ac:dyDescent="0.3">
      <c r="A190">
        <v>243</v>
      </c>
      <c r="B190" t="s">
        <v>13</v>
      </c>
      <c r="C190" t="s">
        <v>19</v>
      </c>
      <c r="D190">
        <v>2746</v>
      </c>
      <c r="E190">
        <v>2746</v>
      </c>
      <c r="F190">
        <v>2746</v>
      </c>
      <c r="G190">
        <v>93</v>
      </c>
      <c r="H190" s="2">
        <v>3.9725388601036289</v>
      </c>
      <c r="I190" s="1">
        <v>45550</v>
      </c>
      <c r="J190">
        <v>2746</v>
      </c>
      <c r="K190">
        <f t="shared" si="4"/>
        <v>0</v>
      </c>
      <c r="L190" t="str">
        <f t="shared" si="5"/>
        <v>Competitive</v>
      </c>
    </row>
    <row r="191" spans="1:12" x14ac:dyDescent="0.3">
      <c r="A191">
        <v>244</v>
      </c>
      <c r="B191" t="s">
        <v>20</v>
      </c>
      <c r="C191" t="s">
        <v>12</v>
      </c>
      <c r="D191">
        <v>5908</v>
      </c>
      <c r="E191">
        <v>5908</v>
      </c>
      <c r="F191">
        <v>5908</v>
      </c>
      <c r="G191">
        <v>125</v>
      </c>
      <c r="H191" s="2">
        <v>3.9725388601036289</v>
      </c>
      <c r="I191" s="1">
        <v>45555</v>
      </c>
      <c r="J191">
        <v>5908</v>
      </c>
      <c r="K191">
        <f t="shared" si="4"/>
        <v>0</v>
      </c>
      <c r="L191" t="str">
        <f t="shared" si="5"/>
        <v>Competitive</v>
      </c>
    </row>
    <row r="192" spans="1:12" x14ac:dyDescent="0.3">
      <c r="A192">
        <v>246</v>
      </c>
      <c r="B192" t="s">
        <v>28</v>
      </c>
      <c r="C192" t="s">
        <v>14</v>
      </c>
      <c r="D192">
        <v>5173</v>
      </c>
      <c r="E192">
        <v>5173</v>
      </c>
      <c r="F192">
        <v>5173</v>
      </c>
      <c r="G192">
        <v>344</v>
      </c>
      <c r="H192" s="2">
        <v>3.2</v>
      </c>
      <c r="I192" s="1">
        <v>45602</v>
      </c>
      <c r="J192">
        <v>5173</v>
      </c>
      <c r="K192">
        <f t="shared" si="4"/>
        <v>0</v>
      </c>
      <c r="L192" t="str">
        <f t="shared" si="5"/>
        <v>Competitive</v>
      </c>
    </row>
    <row r="193" spans="1:12" x14ac:dyDescent="0.3">
      <c r="A193">
        <v>247</v>
      </c>
      <c r="B193" t="s">
        <v>11</v>
      </c>
      <c r="C193" t="s">
        <v>14</v>
      </c>
      <c r="D193">
        <v>5293</v>
      </c>
      <c r="E193">
        <v>5293</v>
      </c>
      <c r="F193">
        <v>5293</v>
      </c>
      <c r="G193">
        <v>484</v>
      </c>
      <c r="H193" s="2">
        <v>3.9725388601036289</v>
      </c>
      <c r="I193" s="1">
        <v>45557</v>
      </c>
      <c r="J193">
        <v>5293</v>
      </c>
      <c r="K193">
        <f t="shared" si="4"/>
        <v>0</v>
      </c>
      <c r="L193" t="str">
        <f t="shared" si="5"/>
        <v>Competitive</v>
      </c>
    </row>
    <row r="194" spans="1:12" x14ac:dyDescent="0.3">
      <c r="A194">
        <v>248</v>
      </c>
      <c r="B194" t="s">
        <v>26</v>
      </c>
      <c r="C194" t="s">
        <v>14</v>
      </c>
      <c r="D194">
        <v>614</v>
      </c>
      <c r="E194">
        <v>614</v>
      </c>
      <c r="F194">
        <v>614</v>
      </c>
      <c r="G194">
        <v>222</v>
      </c>
      <c r="H194" s="2">
        <v>3.9</v>
      </c>
      <c r="I194" s="1">
        <v>45596</v>
      </c>
      <c r="J194">
        <v>614</v>
      </c>
      <c r="K194">
        <f t="shared" si="4"/>
        <v>0</v>
      </c>
      <c r="L194" t="str">
        <f t="shared" si="5"/>
        <v>Competitive</v>
      </c>
    </row>
    <row r="195" spans="1:12" x14ac:dyDescent="0.3">
      <c r="A195">
        <v>249</v>
      </c>
      <c r="B195" t="s">
        <v>15</v>
      </c>
      <c r="C195" t="s">
        <v>10</v>
      </c>
      <c r="D195">
        <v>1539</v>
      </c>
      <c r="E195">
        <v>1722</v>
      </c>
      <c r="F195">
        <v>1722</v>
      </c>
      <c r="G195">
        <v>285</v>
      </c>
      <c r="H195" s="2">
        <v>3.9725388601036289</v>
      </c>
      <c r="I195" s="1">
        <v>45552</v>
      </c>
      <c r="J195">
        <v>1722</v>
      </c>
      <c r="K195">
        <f t="shared" ref="K195:K258" si="6" xml:space="preserve"> D195 - J195</f>
        <v>-183</v>
      </c>
      <c r="L195" t="str">
        <f t="shared" ref="L195:L258" si="7">IF(K195&gt;100,"Overpriced",IF(K195&lt;-100,"Underpriced","Competitive"))</f>
        <v>Underpriced</v>
      </c>
    </row>
    <row r="196" spans="1:12" x14ac:dyDescent="0.3">
      <c r="A196">
        <v>250</v>
      </c>
      <c r="B196" t="s">
        <v>26</v>
      </c>
      <c r="C196" t="s">
        <v>14</v>
      </c>
      <c r="D196">
        <v>4856</v>
      </c>
      <c r="E196">
        <v>3748</v>
      </c>
      <c r="F196">
        <v>3748</v>
      </c>
      <c r="G196">
        <v>74</v>
      </c>
      <c r="H196" s="2">
        <v>3.1</v>
      </c>
      <c r="I196" s="1">
        <v>45617</v>
      </c>
      <c r="J196">
        <v>3748</v>
      </c>
      <c r="K196">
        <f t="shared" si="6"/>
        <v>1108</v>
      </c>
      <c r="L196" t="str">
        <f t="shared" si="7"/>
        <v>Overpriced</v>
      </c>
    </row>
    <row r="197" spans="1:12" x14ac:dyDescent="0.3">
      <c r="A197">
        <v>251</v>
      </c>
      <c r="B197" t="s">
        <v>17</v>
      </c>
      <c r="C197" t="s">
        <v>12</v>
      </c>
      <c r="D197">
        <v>3334</v>
      </c>
      <c r="E197">
        <v>2421</v>
      </c>
      <c r="F197">
        <v>4247</v>
      </c>
      <c r="G197">
        <v>76</v>
      </c>
      <c r="H197" s="2">
        <v>4.5</v>
      </c>
      <c r="I197" s="1">
        <v>45585</v>
      </c>
      <c r="J197">
        <v>3334</v>
      </c>
      <c r="K197">
        <f t="shared" si="6"/>
        <v>0</v>
      </c>
      <c r="L197" t="str">
        <f t="shared" si="7"/>
        <v>Competitive</v>
      </c>
    </row>
    <row r="198" spans="1:12" x14ac:dyDescent="0.3">
      <c r="A198">
        <v>253</v>
      </c>
      <c r="B198" t="s">
        <v>22</v>
      </c>
      <c r="C198" t="s">
        <v>14</v>
      </c>
      <c r="D198">
        <v>1107</v>
      </c>
      <c r="E198">
        <v>1107</v>
      </c>
      <c r="F198">
        <v>1107</v>
      </c>
      <c r="G198">
        <v>92</v>
      </c>
      <c r="H198" s="2">
        <v>3.9725388601036289</v>
      </c>
      <c r="I198" s="1">
        <v>45543</v>
      </c>
      <c r="J198">
        <v>1107</v>
      </c>
      <c r="K198">
        <f t="shared" si="6"/>
        <v>0</v>
      </c>
      <c r="L198" t="str">
        <f t="shared" si="7"/>
        <v>Competitive</v>
      </c>
    </row>
    <row r="199" spans="1:12" x14ac:dyDescent="0.3">
      <c r="A199">
        <v>254</v>
      </c>
      <c r="B199" t="s">
        <v>28</v>
      </c>
      <c r="C199" t="s">
        <v>12</v>
      </c>
      <c r="D199">
        <v>5246</v>
      </c>
      <c r="E199">
        <v>1714</v>
      </c>
      <c r="F199">
        <v>1714</v>
      </c>
      <c r="G199">
        <v>150</v>
      </c>
      <c r="H199" s="2">
        <v>4.3</v>
      </c>
      <c r="I199" s="1">
        <v>45584</v>
      </c>
      <c r="J199">
        <v>1714</v>
      </c>
      <c r="K199">
        <f t="shared" si="6"/>
        <v>3532</v>
      </c>
      <c r="L199" t="str">
        <f t="shared" si="7"/>
        <v>Overpriced</v>
      </c>
    </row>
    <row r="200" spans="1:12" x14ac:dyDescent="0.3">
      <c r="A200">
        <v>255</v>
      </c>
      <c r="B200" t="s">
        <v>13</v>
      </c>
      <c r="C200" t="s">
        <v>14</v>
      </c>
      <c r="D200">
        <v>4541.5</v>
      </c>
      <c r="E200">
        <v>3875</v>
      </c>
      <c r="F200">
        <v>5208</v>
      </c>
      <c r="G200">
        <v>128</v>
      </c>
      <c r="H200" s="2">
        <v>3.9725388601036289</v>
      </c>
      <c r="I200" s="1">
        <v>45584</v>
      </c>
      <c r="J200">
        <v>4541.5</v>
      </c>
      <c r="K200">
        <f t="shared" si="6"/>
        <v>0</v>
      </c>
      <c r="L200" t="str">
        <f t="shared" si="7"/>
        <v>Competitive</v>
      </c>
    </row>
    <row r="201" spans="1:12" x14ac:dyDescent="0.3">
      <c r="A201">
        <v>256</v>
      </c>
      <c r="B201" t="s">
        <v>32</v>
      </c>
      <c r="C201" t="s">
        <v>16</v>
      </c>
      <c r="D201">
        <v>1689</v>
      </c>
      <c r="E201">
        <v>1689</v>
      </c>
      <c r="F201">
        <v>1689</v>
      </c>
      <c r="G201">
        <v>155</v>
      </c>
      <c r="H201" s="2">
        <v>3.9725388601036289</v>
      </c>
      <c r="I201" s="1">
        <v>45557</v>
      </c>
      <c r="J201">
        <v>1689</v>
      </c>
      <c r="K201">
        <f t="shared" si="6"/>
        <v>0</v>
      </c>
      <c r="L201" t="str">
        <f t="shared" si="7"/>
        <v>Competitive</v>
      </c>
    </row>
    <row r="202" spans="1:12" x14ac:dyDescent="0.3">
      <c r="A202">
        <v>257</v>
      </c>
      <c r="B202" t="s">
        <v>30</v>
      </c>
      <c r="C202" t="s">
        <v>10</v>
      </c>
      <c r="D202">
        <v>4689</v>
      </c>
      <c r="E202">
        <v>1846</v>
      </c>
      <c r="F202">
        <v>1846</v>
      </c>
      <c r="G202">
        <v>172</v>
      </c>
      <c r="H202" s="2">
        <v>3.9725388601036289</v>
      </c>
      <c r="I202" s="1">
        <v>45546</v>
      </c>
      <c r="J202">
        <v>1846</v>
      </c>
      <c r="K202">
        <f t="shared" si="6"/>
        <v>2843</v>
      </c>
      <c r="L202" t="str">
        <f t="shared" si="7"/>
        <v>Overpriced</v>
      </c>
    </row>
    <row r="203" spans="1:12" x14ac:dyDescent="0.3">
      <c r="A203">
        <v>258</v>
      </c>
      <c r="B203" t="s">
        <v>22</v>
      </c>
      <c r="C203" t="s">
        <v>14</v>
      </c>
      <c r="D203">
        <v>2473</v>
      </c>
      <c r="E203">
        <v>5988</v>
      </c>
      <c r="F203">
        <v>5988</v>
      </c>
      <c r="G203">
        <v>153</v>
      </c>
      <c r="H203" s="2">
        <v>3.9725388601036289</v>
      </c>
      <c r="I203" s="1">
        <v>45543</v>
      </c>
      <c r="J203">
        <v>5988</v>
      </c>
      <c r="K203">
        <f t="shared" si="6"/>
        <v>-3515</v>
      </c>
      <c r="L203" t="str">
        <f t="shared" si="7"/>
        <v>Underpriced</v>
      </c>
    </row>
    <row r="204" spans="1:12" x14ac:dyDescent="0.3">
      <c r="A204">
        <v>259</v>
      </c>
      <c r="B204" t="s">
        <v>26</v>
      </c>
      <c r="C204" t="s">
        <v>19</v>
      </c>
      <c r="D204">
        <v>2224</v>
      </c>
      <c r="E204">
        <v>5211</v>
      </c>
      <c r="F204">
        <v>5211</v>
      </c>
      <c r="G204">
        <v>137</v>
      </c>
      <c r="H204" s="2">
        <v>4.5999999999999996</v>
      </c>
      <c r="I204" s="1">
        <v>45626</v>
      </c>
      <c r="J204">
        <v>5211</v>
      </c>
      <c r="K204">
        <f t="shared" si="6"/>
        <v>-2987</v>
      </c>
      <c r="L204" t="str">
        <f t="shared" si="7"/>
        <v>Underpriced</v>
      </c>
    </row>
    <row r="205" spans="1:12" x14ac:dyDescent="0.3">
      <c r="A205">
        <v>260</v>
      </c>
      <c r="B205" t="s">
        <v>20</v>
      </c>
      <c r="C205" t="s">
        <v>16</v>
      </c>
      <c r="D205">
        <v>4361.5</v>
      </c>
      <c r="E205">
        <v>4509</v>
      </c>
      <c r="F205">
        <v>4214</v>
      </c>
      <c r="G205">
        <v>410</v>
      </c>
      <c r="H205" s="2">
        <v>3.9725388601036289</v>
      </c>
      <c r="I205" s="1">
        <v>45604</v>
      </c>
      <c r="J205">
        <v>4361.5</v>
      </c>
      <c r="K205">
        <f t="shared" si="6"/>
        <v>0</v>
      </c>
      <c r="L205" t="str">
        <f t="shared" si="7"/>
        <v>Competitive</v>
      </c>
    </row>
    <row r="206" spans="1:12" x14ac:dyDescent="0.3">
      <c r="A206">
        <v>264</v>
      </c>
      <c r="B206" t="s">
        <v>13</v>
      </c>
      <c r="C206" t="s">
        <v>14</v>
      </c>
      <c r="D206">
        <v>5230</v>
      </c>
      <c r="E206">
        <v>5230</v>
      </c>
      <c r="F206">
        <v>5230</v>
      </c>
      <c r="G206">
        <v>495</v>
      </c>
      <c r="H206" s="2">
        <v>4</v>
      </c>
      <c r="I206" s="1">
        <v>45553</v>
      </c>
      <c r="J206">
        <v>5230</v>
      </c>
      <c r="K206">
        <f t="shared" si="6"/>
        <v>0</v>
      </c>
      <c r="L206" t="str">
        <f t="shared" si="7"/>
        <v>Competitive</v>
      </c>
    </row>
    <row r="207" spans="1:12" x14ac:dyDescent="0.3">
      <c r="A207">
        <v>265</v>
      </c>
      <c r="B207" t="s">
        <v>30</v>
      </c>
      <c r="C207" t="s">
        <v>19</v>
      </c>
      <c r="D207">
        <v>2392</v>
      </c>
      <c r="E207">
        <v>2392</v>
      </c>
      <c r="F207">
        <v>2392</v>
      </c>
      <c r="G207">
        <v>111</v>
      </c>
      <c r="H207" s="2">
        <v>3.9725388601036289</v>
      </c>
      <c r="I207" s="1">
        <v>45606</v>
      </c>
      <c r="J207">
        <v>2392</v>
      </c>
      <c r="K207">
        <f t="shared" si="6"/>
        <v>0</v>
      </c>
      <c r="L207" t="str">
        <f t="shared" si="7"/>
        <v>Competitive</v>
      </c>
    </row>
    <row r="208" spans="1:12" x14ac:dyDescent="0.3">
      <c r="A208">
        <v>268</v>
      </c>
      <c r="B208" t="s">
        <v>28</v>
      </c>
      <c r="C208" t="s">
        <v>12</v>
      </c>
      <c r="D208">
        <v>4974</v>
      </c>
      <c r="E208">
        <v>4953</v>
      </c>
      <c r="F208">
        <v>4995</v>
      </c>
      <c r="G208">
        <v>52</v>
      </c>
      <c r="H208" s="2">
        <v>3.9725388601036289</v>
      </c>
      <c r="I208" s="1">
        <v>45566</v>
      </c>
      <c r="J208">
        <v>4974</v>
      </c>
      <c r="K208">
        <f t="shared" si="6"/>
        <v>0</v>
      </c>
      <c r="L208" t="str">
        <f t="shared" si="7"/>
        <v>Competitive</v>
      </c>
    </row>
    <row r="209" spans="1:12" x14ac:dyDescent="0.3">
      <c r="A209">
        <v>269</v>
      </c>
      <c r="B209" t="s">
        <v>31</v>
      </c>
      <c r="C209" t="s">
        <v>19</v>
      </c>
      <c r="D209">
        <v>5819</v>
      </c>
      <c r="E209">
        <v>5819</v>
      </c>
      <c r="F209">
        <v>5819</v>
      </c>
      <c r="G209">
        <v>421</v>
      </c>
      <c r="H209" s="2">
        <v>4.3</v>
      </c>
      <c r="I209" s="1">
        <v>45614</v>
      </c>
      <c r="J209">
        <v>5819</v>
      </c>
      <c r="K209">
        <f t="shared" si="6"/>
        <v>0</v>
      </c>
      <c r="L209" t="str">
        <f t="shared" si="7"/>
        <v>Competitive</v>
      </c>
    </row>
    <row r="210" spans="1:12" x14ac:dyDescent="0.3">
      <c r="A210">
        <v>272</v>
      </c>
      <c r="B210" t="s">
        <v>33</v>
      </c>
      <c r="C210" t="s">
        <v>19</v>
      </c>
      <c r="D210">
        <v>4122</v>
      </c>
      <c r="E210">
        <v>4122</v>
      </c>
      <c r="F210">
        <v>4122</v>
      </c>
      <c r="G210">
        <v>481</v>
      </c>
      <c r="H210" s="2">
        <v>3.9725388601036289</v>
      </c>
      <c r="I210" s="1">
        <v>45569</v>
      </c>
      <c r="J210">
        <v>4122</v>
      </c>
      <c r="K210">
        <f t="shared" si="6"/>
        <v>0</v>
      </c>
      <c r="L210" t="str">
        <f t="shared" si="7"/>
        <v>Competitive</v>
      </c>
    </row>
    <row r="211" spans="1:12" x14ac:dyDescent="0.3">
      <c r="A211">
        <v>274</v>
      </c>
      <c r="B211" t="s">
        <v>20</v>
      </c>
      <c r="C211" t="s">
        <v>10</v>
      </c>
      <c r="D211">
        <v>1022</v>
      </c>
      <c r="E211">
        <v>3284</v>
      </c>
      <c r="F211">
        <v>2192</v>
      </c>
      <c r="G211">
        <v>148</v>
      </c>
      <c r="H211" s="2">
        <v>3.9725388601036289</v>
      </c>
      <c r="I211" s="1">
        <v>45621</v>
      </c>
      <c r="J211">
        <v>2738</v>
      </c>
      <c r="K211">
        <f t="shared" si="6"/>
        <v>-1716</v>
      </c>
      <c r="L211" t="str">
        <f t="shared" si="7"/>
        <v>Underpriced</v>
      </c>
    </row>
    <row r="212" spans="1:12" x14ac:dyDescent="0.3">
      <c r="A212">
        <v>275</v>
      </c>
      <c r="B212" t="s">
        <v>9</v>
      </c>
      <c r="C212" t="s">
        <v>19</v>
      </c>
      <c r="D212">
        <v>3511.5</v>
      </c>
      <c r="E212">
        <v>2514</v>
      </c>
      <c r="F212">
        <v>4509</v>
      </c>
      <c r="G212">
        <v>40</v>
      </c>
      <c r="H212" s="2">
        <v>3.9725388601036289</v>
      </c>
      <c r="I212" s="1">
        <v>45597</v>
      </c>
      <c r="J212">
        <v>3511.5</v>
      </c>
      <c r="K212">
        <f t="shared" si="6"/>
        <v>0</v>
      </c>
      <c r="L212" t="str">
        <f t="shared" si="7"/>
        <v>Competitive</v>
      </c>
    </row>
    <row r="213" spans="1:12" x14ac:dyDescent="0.3">
      <c r="A213">
        <v>277</v>
      </c>
      <c r="B213" t="s">
        <v>20</v>
      </c>
      <c r="C213" t="s">
        <v>16</v>
      </c>
      <c r="D213">
        <v>5239</v>
      </c>
      <c r="E213">
        <v>2824</v>
      </c>
      <c r="F213">
        <v>2824</v>
      </c>
      <c r="G213">
        <v>489</v>
      </c>
      <c r="H213" s="2">
        <v>3.5</v>
      </c>
      <c r="I213" s="1">
        <v>45607</v>
      </c>
      <c r="J213">
        <v>2824</v>
      </c>
      <c r="K213">
        <f t="shared" si="6"/>
        <v>2415</v>
      </c>
      <c r="L213" t="str">
        <f t="shared" si="7"/>
        <v>Overpriced</v>
      </c>
    </row>
    <row r="214" spans="1:12" x14ac:dyDescent="0.3">
      <c r="A214">
        <v>279</v>
      </c>
      <c r="B214" t="s">
        <v>32</v>
      </c>
      <c r="C214" t="s">
        <v>10</v>
      </c>
      <c r="D214">
        <v>224</v>
      </c>
      <c r="E214">
        <v>224</v>
      </c>
      <c r="F214">
        <v>224</v>
      </c>
      <c r="G214">
        <v>171</v>
      </c>
      <c r="H214" s="2">
        <v>3.9725388601036289</v>
      </c>
      <c r="I214" s="1">
        <v>45608</v>
      </c>
      <c r="J214">
        <v>224</v>
      </c>
      <c r="K214">
        <f t="shared" si="6"/>
        <v>0</v>
      </c>
      <c r="L214" t="str">
        <f t="shared" si="7"/>
        <v>Competitive</v>
      </c>
    </row>
    <row r="215" spans="1:12" x14ac:dyDescent="0.3">
      <c r="A215">
        <v>281</v>
      </c>
      <c r="B215" t="s">
        <v>31</v>
      </c>
      <c r="C215" t="s">
        <v>16</v>
      </c>
      <c r="D215">
        <v>1986</v>
      </c>
      <c r="E215">
        <v>4720</v>
      </c>
      <c r="F215">
        <v>4309</v>
      </c>
      <c r="G215">
        <v>135</v>
      </c>
      <c r="H215" s="2">
        <v>3.9725388601036289</v>
      </c>
      <c r="I215" s="1">
        <v>45547</v>
      </c>
      <c r="J215">
        <v>4514.5</v>
      </c>
      <c r="K215">
        <f t="shared" si="6"/>
        <v>-2528.5</v>
      </c>
      <c r="L215" t="str">
        <f t="shared" si="7"/>
        <v>Underpriced</v>
      </c>
    </row>
    <row r="216" spans="1:12" x14ac:dyDescent="0.3">
      <c r="A216">
        <v>283</v>
      </c>
      <c r="B216" t="s">
        <v>21</v>
      </c>
      <c r="C216" t="s">
        <v>16</v>
      </c>
      <c r="D216">
        <v>3534</v>
      </c>
      <c r="E216">
        <v>3534</v>
      </c>
      <c r="F216">
        <v>3534</v>
      </c>
      <c r="G216">
        <v>293</v>
      </c>
      <c r="H216" s="2">
        <v>4.2</v>
      </c>
      <c r="I216" s="1">
        <v>45585</v>
      </c>
      <c r="J216">
        <v>3534</v>
      </c>
      <c r="K216">
        <f t="shared" si="6"/>
        <v>0</v>
      </c>
      <c r="L216" t="str">
        <f t="shared" si="7"/>
        <v>Competitive</v>
      </c>
    </row>
    <row r="217" spans="1:12" x14ac:dyDescent="0.3">
      <c r="A217">
        <v>286</v>
      </c>
      <c r="B217" t="s">
        <v>23</v>
      </c>
      <c r="C217" t="s">
        <v>16</v>
      </c>
      <c r="D217">
        <v>2387</v>
      </c>
      <c r="E217">
        <v>636</v>
      </c>
      <c r="F217">
        <v>636</v>
      </c>
      <c r="G217">
        <v>195</v>
      </c>
      <c r="H217" s="2">
        <v>3.5</v>
      </c>
      <c r="I217" s="1">
        <v>45543</v>
      </c>
      <c r="J217">
        <v>636</v>
      </c>
      <c r="K217">
        <f t="shared" si="6"/>
        <v>1751</v>
      </c>
      <c r="L217" t="str">
        <f t="shared" si="7"/>
        <v>Overpriced</v>
      </c>
    </row>
    <row r="218" spans="1:12" x14ac:dyDescent="0.3">
      <c r="A218">
        <v>288</v>
      </c>
      <c r="B218" t="s">
        <v>26</v>
      </c>
      <c r="C218" t="s">
        <v>10</v>
      </c>
      <c r="D218">
        <v>3531.5</v>
      </c>
      <c r="E218">
        <v>5701</v>
      </c>
      <c r="F218">
        <v>1362</v>
      </c>
      <c r="G218">
        <v>27</v>
      </c>
      <c r="H218" s="2">
        <v>3.9725388601036289</v>
      </c>
      <c r="I218" s="1">
        <v>45592</v>
      </c>
      <c r="J218">
        <v>3531.5</v>
      </c>
      <c r="K218">
        <f t="shared" si="6"/>
        <v>0</v>
      </c>
      <c r="L218" t="str">
        <f t="shared" si="7"/>
        <v>Competitive</v>
      </c>
    </row>
    <row r="219" spans="1:12" x14ac:dyDescent="0.3">
      <c r="A219">
        <v>289</v>
      </c>
      <c r="B219" t="s">
        <v>32</v>
      </c>
      <c r="C219" t="s">
        <v>12</v>
      </c>
      <c r="D219">
        <v>5418</v>
      </c>
      <c r="E219">
        <v>5868</v>
      </c>
      <c r="F219">
        <v>4968</v>
      </c>
      <c r="G219">
        <v>177</v>
      </c>
      <c r="H219" s="2">
        <v>3.9725388601036289</v>
      </c>
      <c r="I219" s="1">
        <v>45564</v>
      </c>
      <c r="J219">
        <v>5418</v>
      </c>
      <c r="K219">
        <f t="shared" si="6"/>
        <v>0</v>
      </c>
      <c r="L219" t="str">
        <f t="shared" si="7"/>
        <v>Competitive</v>
      </c>
    </row>
    <row r="220" spans="1:12" x14ac:dyDescent="0.3">
      <c r="A220">
        <v>290</v>
      </c>
      <c r="B220" t="s">
        <v>17</v>
      </c>
      <c r="C220" t="s">
        <v>19</v>
      </c>
      <c r="D220">
        <v>2748</v>
      </c>
      <c r="E220">
        <v>3246</v>
      </c>
      <c r="F220">
        <v>903</v>
      </c>
      <c r="G220">
        <v>78</v>
      </c>
      <c r="H220" s="2">
        <v>3.4</v>
      </c>
      <c r="I220" s="1">
        <v>45576</v>
      </c>
      <c r="J220">
        <v>2074.5</v>
      </c>
      <c r="K220">
        <f t="shared" si="6"/>
        <v>673.5</v>
      </c>
      <c r="L220" t="str">
        <f t="shared" si="7"/>
        <v>Overpriced</v>
      </c>
    </row>
    <row r="221" spans="1:12" x14ac:dyDescent="0.3">
      <c r="A221">
        <v>291</v>
      </c>
      <c r="B221" t="s">
        <v>15</v>
      </c>
      <c r="C221" t="s">
        <v>10</v>
      </c>
      <c r="D221">
        <v>4932</v>
      </c>
      <c r="E221">
        <v>1564</v>
      </c>
      <c r="F221">
        <v>4521</v>
      </c>
      <c r="G221">
        <v>432</v>
      </c>
      <c r="H221" s="2">
        <v>3.7</v>
      </c>
      <c r="I221" s="1">
        <v>45622</v>
      </c>
      <c r="J221">
        <v>3042.5</v>
      </c>
      <c r="K221">
        <f t="shared" si="6"/>
        <v>1889.5</v>
      </c>
      <c r="L221" t="str">
        <f t="shared" si="7"/>
        <v>Overpriced</v>
      </c>
    </row>
    <row r="222" spans="1:12" x14ac:dyDescent="0.3">
      <c r="A222">
        <v>292</v>
      </c>
      <c r="B222" t="s">
        <v>32</v>
      </c>
      <c r="C222" t="s">
        <v>10</v>
      </c>
      <c r="D222">
        <v>329</v>
      </c>
      <c r="E222">
        <v>402</v>
      </c>
      <c r="F222">
        <v>402</v>
      </c>
      <c r="G222">
        <v>306</v>
      </c>
      <c r="H222" s="2">
        <v>4.3</v>
      </c>
      <c r="I222" s="1">
        <v>45586</v>
      </c>
      <c r="J222">
        <v>402</v>
      </c>
      <c r="K222">
        <f t="shared" si="6"/>
        <v>-73</v>
      </c>
      <c r="L222" t="str">
        <f t="shared" si="7"/>
        <v>Competitive</v>
      </c>
    </row>
    <row r="223" spans="1:12" x14ac:dyDescent="0.3">
      <c r="A223">
        <v>293</v>
      </c>
      <c r="B223" t="s">
        <v>18</v>
      </c>
      <c r="C223" t="s">
        <v>10</v>
      </c>
      <c r="D223">
        <v>4894</v>
      </c>
      <c r="E223">
        <v>3434</v>
      </c>
      <c r="F223">
        <v>3434</v>
      </c>
      <c r="G223">
        <v>48</v>
      </c>
      <c r="H223" s="2">
        <v>4.5</v>
      </c>
      <c r="I223" s="1">
        <v>45556</v>
      </c>
      <c r="J223">
        <v>3434</v>
      </c>
      <c r="K223">
        <f t="shared" si="6"/>
        <v>1460</v>
      </c>
      <c r="L223" t="str">
        <f t="shared" si="7"/>
        <v>Overpriced</v>
      </c>
    </row>
    <row r="224" spans="1:12" x14ac:dyDescent="0.3">
      <c r="A224">
        <v>295</v>
      </c>
      <c r="B224" t="s">
        <v>28</v>
      </c>
      <c r="C224" t="s">
        <v>12</v>
      </c>
      <c r="D224">
        <v>5969</v>
      </c>
      <c r="E224">
        <v>5969</v>
      </c>
      <c r="F224">
        <v>5969</v>
      </c>
      <c r="G224">
        <v>115</v>
      </c>
      <c r="H224" s="2">
        <v>4.5999999999999996</v>
      </c>
      <c r="I224" s="1">
        <v>45615</v>
      </c>
      <c r="J224">
        <v>5969</v>
      </c>
      <c r="K224">
        <f t="shared" si="6"/>
        <v>0</v>
      </c>
      <c r="L224" t="str">
        <f t="shared" si="7"/>
        <v>Competitive</v>
      </c>
    </row>
    <row r="225" spans="1:12" x14ac:dyDescent="0.3">
      <c r="A225">
        <v>297</v>
      </c>
      <c r="B225" t="s">
        <v>25</v>
      </c>
      <c r="C225" t="s">
        <v>19</v>
      </c>
      <c r="D225">
        <v>2323</v>
      </c>
      <c r="E225">
        <v>5459</v>
      </c>
      <c r="F225">
        <v>790</v>
      </c>
      <c r="G225">
        <v>217</v>
      </c>
      <c r="H225" s="2">
        <v>3.9725388601036289</v>
      </c>
      <c r="I225" s="1">
        <v>45616</v>
      </c>
      <c r="J225">
        <v>3124.5</v>
      </c>
      <c r="K225">
        <f t="shared" si="6"/>
        <v>-801.5</v>
      </c>
      <c r="L225" t="str">
        <f t="shared" si="7"/>
        <v>Underpriced</v>
      </c>
    </row>
    <row r="226" spans="1:12" x14ac:dyDescent="0.3">
      <c r="A226">
        <v>298</v>
      </c>
      <c r="B226" t="s">
        <v>25</v>
      </c>
      <c r="C226" t="s">
        <v>12</v>
      </c>
      <c r="D226">
        <v>5720</v>
      </c>
      <c r="E226">
        <v>5284</v>
      </c>
      <c r="F226">
        <v>5284</v>
      </c>
      <c r="G226">
        <v>215</v>
      </c>
      <c r="H226" s="2">
        <v>3.9725388601036289</v>
      </c>
      <c r="I226" s="1">
        <v>45539</v>
      </c>
      <c r="J226">
        <v>5284</v>
      </c>
      <c r="K226">
        <f t="shared" si="6"/>
        <v>436</v>
      </c>
      <c r="L226" t="str">
        <f t="shared" si="7"/>
        <v>Overpriced</v>
      </c>
    </row>
    <row r="227" spans="1:12" x14ac:dyDescent="0.3">
      <c r="A227">
        <v>300</v>
      </c>
      <c r="B227" t="s">
        <v>31</v>
      </c>
      <c r="C227" t="s">
        <v>14</v>
      </c>
      <c r="D227">
        <v>3255</v>
      </c>
      <c r="E227">
        <v>991</v>
      </c>
      <c r="F227">
        <v>5519</v>
      </c>
      <c r="G227">
        <v>195</v>
      </c>
      <c r="H227" s="2">
        <v>4.8</v>
      </c>
      <c r="I227" s="1">
        <v>45601</v>
      </c>
      <c r="J227">
        <v>3255</v>
      </c>
      <c r="K227">
        <f t="shared" si="6"/>
        <v>0</v>
      </c>
      <c r="L227" t="str">
        <f t="shared" si="7"/>
        <v>Competitive</v>
      </c>
    </row>
    <row r="228" spans="1:12" x14ac:dyDescent="0.3">
      <c r="A228">
        <v>301</v>
      </c>
      <c r="B228" t="s">
        <v>28</v>
      </c>
      <c r="C228" t="s">
        <v>12</v>
      </c>
      <c r="D228">
        <v>2243</v>
      </c>
      <c r="E228">
        <v>2243</v>
      </c>
      <c r="F228">
        <v>2243</v>
      </c>
      <c r="G228">
        <v>225</v>
      </c>
      <c r="H228" s="2">
        <v>3.9725388601036289</v>
      </c>
      <c r="I228" s="1">
        <v>45566</v>
      </c>
      <c r="J228">
        <v>2243</v>
      </c>
      <c r="K228">
        <f t="shared" si="6"/>
        <v>0</v>
      </c>
      <c r="L228" t="str">
        <f t="shared" si="7"/>
        <v>Competitive</v>
      </c>
    </row>
    <row r="229" spans="1:12" x14ac:dyDescent="0.3">
      <c r="A229">
        <v>302</v>
      </c>
      <c r="B229" t="s">
        <v>13</v>
      </c>
      <c r="C229" t="s">
        <v>16</v>
      </c>
      <c r="D229">
        <v>5547</v>
      </c>
      <c r="E229">
        <v>5547</v>
      </c>
      <c r="F229">
        <v>5547</v>
      </c>
      <c r="G229">
        <v>392</v>
      </c>
      <c r="H229" s="2">
        <v>3.9</v>
      </c>
      <c r="I229" s="1">
        <v>45595</v>
      </c>
      <c r="J229">
        <v>5547</v>
      </c>
      <c r="K229">
        <f t="shared" si="6"/>
        <v>0</v>
      </c>
      <c r="L229" t="str">
        <f t="shared" si="7"/>
        <v>Competitive</v>
      </c>
    </row>
    <row r="230" spans="1:12" x14ac:dyDescent="0.3">
      <c r="A230">
        <v>303</v>
      </c>
      <c r="B230" t="s">
        <v>21</v>
      </c>
      <c r="C230" t="s">
        <v>16</v>
      </c>
      <c r="D230">
        <v>1101</v>
      </c>
      <c r="E230">
        <v>2150</v>
      </c>
      <c r="F230">
        <v>2150</v>
      </c>
      <c r="G230">
        <v>23</v>
      </c>
      <c r="H230" s="2">
        <v>4.5</v>
      </c>
      <c r="I230" s="1">
        <v>45546</v>
      </c>
      <c r="J230">
        <v>2150</v>
      </c>
      <c r="K230">
        <f t="shared" si="6"/>
        <v>-1049</v>
      </c>
      <c r="L230" t="str">
        <f t="shared" si="7"/>
        <v>Underpriced</v>
      </c>
    </row>
    <row r="231" spans="1:12" x14ac:dyDescent="0.3">
      <c r="A231">
        <v>304</v>
      </c>
      <c r="B231" t="s">
        <v>25</v>
      </c>
      <c r="C231" t="s">
        <v>14</v>
      </c>
      <c r="D231">
        <v>4508</v>
      </c>
      <c r="E231">
        <v>3514</v>
      </c>
      <c r="F231">
        <v>5463</v>
      </c>
      <c r="G231">
        <v>299</v>
      </c>
      <c r="H231" s="2">
        <v>4.2</v>
      </c>
      <c r="I231" s="1">
        <v>45566</v>
      </c>
      <c r="J231">
        <v>4488.5</v>
      </c>
      <c r="K231">
        <f t="shared" si="6"/>
        <v>19.5</v>
      </c>
      <c r="L231" t="str">
        <f t="shared" si="7"/>
        <v>Competitive</v>
      </c>
    </row>
    <row r="232" spans="1:12" x14ac:dyDescent="0.3">
      <c r="A232">
        <v>306</v>
      </c>
      <c r="B232" t="s">
        <v>25</v>
      </c>
      <c r="C232" t="s">
        <v>10</v>
      </c>
      <c r="D232">
        <v>1333</v>
      </c>
      <c r="E232">
        <v>5768</v>
      </c>
      <c r="F232">
        <v>5304</v>
      </c>
      <c r="G232">
        <v>146</v>
      </c>
      <c r="H232" s="2">
        <v>4.7</v>
      </c>
      <c r="I232" s="1">
        <v>45548</v>
      </c>
      <c r="J232">
        <v>5536</v>
      </c>
      <c r="K232">
        <f t="shared" si="6"/>
        <v>-4203</v>
      </c>
      <c r="L232" t="str">
        <f t="shared" si="7"/>
        <v>Underpriced</v>
      </c>
    </row>
    <row r="233" spans="1:12" x14ac:dyDescent="0.3">
      <c r="A233">
        <v>308</v>
      </c>
      <c r="B233" t="s">
        <v>28</v>
      </c>
      <c r="C233" t="s">
        <v>14</v>
      </c>
      <c r="D233">
        <v>3240</v>
      </c>
      <c r="E233">
        <v>2223</v>
      </c>
      <c r="F233">
        <v>4257</v>
      </c>
      <c r="G233">
        <v>139</v>
      </c>
      <c r="H233" s="2">
        <v>4.4000000000000004</v>
      </c>
      <c r="I233" s="1">
        <v>45568</v>
      </c>
      <c r="J233">
        <v>3240</v>
      </c>
      <c r="K233">
        <f t="shared" si="6"/>
        <v>0</v>
      </c>
      <c r="L233" t="str">
        <f t="shared" si="7"/>
        <v>Competitive</v>
      </c>
    </row>
    <row r="234" spans="1:12" x14ac:dyDescent="0.3">
      <c r="A234">
        <v>310</v>
      </c>
      <c r="B234" t="s">
        <v>26</v>
      </c>
      <c r="C234" t="s">
        <v>19</v>
      </c>
      <c r="D234">
        <v>2005</v>
      </c>
      <c r="E234">
        <v>2005</v>
      </c>
      <c r="F234">
        <v>2005</v>
      </c>
      <c r="G234">
        <v>477</v>
      </c>
      <c r="H234" s="2">
        <v>4.7</v>
      </c>
      <c r="I234" s="1">
        <v>45560</v>
      </c>
      <c r="J234">
        <v>2005</v>
      </c>
      <c r="K234">
        <f t="shared" si="6"/>
        <v>0</v>
      </c>
      <c r="L234" t="str">
        <f t="shared" si="7"/>
        <v>Competitive</v>
      </c>
    </row>
    <row r="235" spans="1:12" x14ac:dyDescent="0.3">
      <c r="A235">
        <v>311</v>
      </c>
      <c r="B235" t="s">
        <v>9</v>
      </c>
      <c r="C235" t="s">
        <v>10</v>
      </c>
      <c r="D235">
        <v>5040</v>
      </c>
      <c r="E235">
        <v>5054</v>
      </c>
      <c r="F235">
        <v>3503</v>
      </c>
      <c r="G235">
        <v>85</v>
      </c>
      <c r="H235" s="2">
        <v>3.9725388601036289</v>
      </c>
      <c r="I235" s="1">
        <v>45542</v>
      </c>
      <c r="J235">
        <v>4278.5</v>
      </c>
      <c r="K235">
        <f t="shared" si="6"/>
        <v>761.5</v>
      </c>
      <c r="L235" t="str">
        <f t="shared" si="7"/>
        <v>Overpriced</v>
      </c>
    </row>
    <row r="236" spans="1:12" x14ac:dyDescent="0.3">
      <c r="A236">
        <v>314</v>
      </c>
      <c r="B236" t="s">
        <v>26</v>
      </c>
      <c r="C236" t="s">
        <v>16</v>
      </c>
      <c r="D236">
        <v>3059</v>
      </c>
      <c r="E236">
        <v>4308</v>
      </c>
      <c r="F236">
        <v>4308</v>
      </c>
      <c r="G236">
        <v>139</v>
      </c>
      <c r="H236" s="2">
        <v>4.3</v>
      </c>
      <c r="I236" s="1">
        <v>45607</v>
      </c>
      <c r="J236">
        <v>4308</v>
      </c>
      <c r="K236">
        <f t="shared" si="6"/>
        <v>-1249</v>
      </c>
      <c r="L236" t="str">
        <f t="shared" si="7"/>
        <v>Underpriced</v>
      </c>
    </row>
    <row r="237" spans="1:12" x14ac:dyDescent="0.3">
      <c r="A237">
        <v>315</v>
      </c>
      <c r="B237" t="s">
        <v>30</v>
      </c>
      <c r="C237" t="s">
        <v>10</v>
      </c>
      <c r="D237">
        <v>5352</v>
      </c>
      <c r="E237">
        <v>4741</v>
      </c>
      <c r="F237">
        <v>4741</v>
      </c>
      <c r="G237">
        <v>343</v>
      </c>
      <c r="H237" s="2">
        <v>4.0999999999999996</v>
      </c>
      <c r="I237" s="1">
        <v>45614</v>
      </c>
      <c r="J237">
        <v>4741</v>
      </c>
      <c r="K237">
        <f t="shared" si="6"/>
        <v>611</v>
      </c>
      <c r="L237" t="str">
        <f t="shared" si="7"/>
        <v>Overpriced</v>
      </c>
    </row>
    <row r="238" spans="1:12" x14ac:dyDescent="0.3">
      <c r="A238">
        <v>316</v>
      </c>
      <c r="B238" t="s">
        <v>32</v>
      </c>
      <c r="C238" t="s">
        <v>14</v>
      </c>
      <c r="D238">
        <v>1031</v>
      </c>
      <c r="E238">
        <v>2449</v>
      </c>
      <c r="F238">
        <v>2449</v>
      </c>
      <c r="G238">
        <v>187</v>
      </c>
      <c r="H238" s="2">
        <v>3.5</v>
      </c>
      <c r="I238" s="1">
        <v>45538</v>
      </c>
      <c r="J238">
        <v>2449</v>
      </c>
      <c r="K238">
        <f t="shared" si="6"/>
        <v>-1418</v>
      </c>
      <c r="L238" t="str">
        <f t="shared" si="7"/>
        <v>Underpriced</v>
      </c>
    </row>
    <row r="239" spans="1:12" x14ac:dyDescent="0.3">
      <c r="A239">
        <v>319</v>
      </c>
      <c r="B239" t="s">
        <v>17</v>
      </c>
      <c r="C239" t="s">
        <v>16</v>
      </c>
      <c r="D239">
        <v>4804</v>
      </c>
      <c r="E239">
        <v>4804</v>
      </c>
      <c r="F239">
        <v>4804</v>
      </c>
      <c r="G239">
        <v>236</v>
      </c>
      <c r="H239" s="2">
        <v>3.1</v>
      </c>
      <c r="I239" s="1">
        <v>45620</v>
      </c>
      <c r="J239">
        <v>4804</v>
      </c>
      <c r="K239">
        <f t="shared" si="6"/>
        <v>0</v>
      </c>
      <c r="L239" t="str">
        <f t="shared" si="7"/>
        <v>Competitive</v>
      </c>
    </row>
    <row r="240" spans="1:12" x14ac:dyDescent="0.3">
      <c r="A240">
        <v>320</v>
      </c>
      <c r="B240" t="s">
        <v>11</v>
      </c>
      <c r="C240" t="s">
        <v>19</v>
      </c>
      <c r="D240">
        <v>5794</v>
      </c>
      <c r="E240">
        <v>3380</v>
      </c>
      <c r="F240">
        <v>3380</v>
      </c>
      <c r="G240">
        <v>209</v>
      </c>
      <c r="H240" s="2">
        <v>3.9725388601036289</v>
      </c>
      <c r="I240" s="1">
        <v>45561</v>
      </c>
      <c r="J240">
        <v>3380</v>
      </c>
      <c r="K240">
        <f t="shared" si="6"/>
        <v>2414</v>
      </c>
      <c r="L240" t="str">
        <f t="shared" si="7"/>
        <v>Overpriced</v>
      </c>
    </row>
    <row r="241" spans="1:12" x14ac:dyDescent="0.3">
      <c r="A241">
        <v>322</v>
      </c>
      <c r="B241" t="s">
        <v>27</v>
      </c>
      <c r="C241" t="s">
        <v>14</v>
      </c>
      <c r="D241">
        <v>1670</v>
      </c>
      <c r="E241">
        <v>1670</v>
      </c>
      <c r="F241">
        <v>1670</v>
      </c>
      <c r="G241">
        <v>282</v>
      </c>
      <c r="H241" s="2">
        <v>3.7</v>
      </c>
      <c r="I241" s="1">
        <v>45609</v>
      </c>
      <c r="J241">
        <v>1670</v>
      </c>
      <c r="K241">
        <f t="shared" si="6"/>
        <v>0</v>
      </c>
      <c r="L241" t="str">
        <f t="shared" si="7"/>
        <v>Competitive</v>
      </c>
    </row>
    <row r="242" spans="1:12" x14ac:dyDescent="0.3">
      <c r="A242">
        <v>323</v>
      </c>
      <c r="B242" t="s">
        <v>23</v>
      </c>
      <c r="C242" t="s">
        <v>14</v>
      </c>
      <c r="D242">
        <v>4834</v>
      </c>
      <c r="E242">
        <v>4834</v>
      </c>
      <c r="F242">
        <v>4834</v>
      </c>
      <c r="G242">
        <v>53</v>
      </c>
      <c r="H242" s="2">
        <v>4.5999999999999996</v>
      </c>
      <c r="I242" s="1">
        <v>45582</v>
      </c>
      <c r="J242">
        <v>4834</v>
      </c>
      <c r="K242">
        <f t="shared" si="6"/>
        <v>0</v>
      </c>
      <c r="L242" t="str">
        <f t="shared" si="7"/>
        <v>Competitive</v>
      </c>
    </row>
    <row r="243" spans="1:12" x14ac:dyDescent="0.3">
      <c r="A243">
        <v>324</v>
      </c>
      <c r="B243" t="s">
        <v>25</v>
      </c>
      <c r="C243" t="s">
        <v>16</v>
      </c>
      <c r="D243">
        <v>3267</v>
      </c>
      <c r="E243">
        <v>3267</v>
      </c>
      <c r="F243">
        <v>3267</v>
      </c>
      <c r="G243">
        <v>306</v>
      </c>
      <c r="H243" s="2">
        <v>4.5999999999999996</v>
      </c>
      <c r="I243" s="1">
        <v>45592</v>
      </c>
      <c r="J243">
        <v>3267</v>
      </c>
      <c r="K243">
        <f t="shared" si="6"/>
        <v>0</v>
      </c>
      <c r="L243" t="str">
        <f t="shared" si="7"/>
        <v>Competitive</v>
      </c>
    </row>
    <row r="244" spans="1:12" x14ac:dyDescent="0.3">
      <c r="A244">
        <v>325</v>
      </c>
      <c r="B244" t="s">
        <v>32</v>
      </c>
      <c r="C244" t="s">
        <v>14</v>
      </c>
      <c r="D244">
        <v>5542</v>
      </c>
      <c r="E244">
        <v>5542</v>
      </c>
      <c r="F244">
        <v>5542</v>
      </c>
      <c r="G244">
        <v>368</v>
      </c>
      <c r="H244" s="2">
        <v>4.0999999999999996</v>
      </c>
      <c r="I244" s="1">
        <v>45556</v>
      </c>
      <c r="J244">
        <v>5542</v>
      </c>
      <c r="K244">
        <f t="shared" si="6"/>
        <v>0</v>
      </c>
      <c r="L244" t="str">
        <f t="shared" si="7"/>
        <v>Competitive</v>
      </c>
    </row>
    <row r="245" spans="1:12" x14ac:dyDescent="0.3">
      <c r="A245">
        <v>326</v>
      </c>
      <c r="B245" t="s">
        <v>23</v>
      </c>
      <c r="C245" t="s">
        <v>19</v>
      </c>
      <c r="D245">
        <v>2875</v>
      </c>
      <c r="E245">
        <v>2875</v>
      </c>
      <c r="F245">
        <v>2875</v>
      </c>
      <c r="G245">
        <v>159</v>
      </c>
      <c r="H245" s="2">
        <v>3.9725388601036289</v>
      </c>
      <c r="I245" s="1">
        <v>45601</v>
      </c>
      <c r="J245">
        <v>2875</v>
      </c>
      <c r="K245">
        <f t="shared" si="6"/>
        <v>0</v>
      </c>
      <c r="L245" t="str">
        <f t="shared" si="7"/>
        <v>Competitive</v>
      </c>
    </row>
    <row r="246" spans="1:12" x14ac:dyDescent="0.3">
      <c r="A246">
        <v>327</v>
      </c>
      <c r="B246" t="s">
        <v>9</v>
      </c>
      <c r="C246" t="s">
        <v>14</v>
      </c>
      <c r="D246">
        <v>3986</v>
      </c>
      <c r="E246">
        <v>5537</v>
      </c>
      <c r="F246">
        <v>5537</v>
      </c>
      <c r="G246">
        <v>118</v>
      </c>
      <c r="H246" s="2">
        <v>4.3</v>
      </c>
      <c r="I246" s="1">
        <v>45576</v>
      </c>
      <c r="J246">
        <v>5537</v>
      </c>
      <c r="K246">
        <f t="shared" si="6"/>
        <v>-1551</v>
      </c>
      <c r="L246" t="str">
        <f t="shared" si="7"/>
        <v>Underpriced</v>
      </c>
    </row>
    <row r="247" spans="1:12" x14ac:dyDescent="0.3">
      <c r="A247">
        <v>329</v>
      </c>
      <c r="B247" t="s">
        <v>24</v>
      </c>
      <c r="C247" t="s">
        <v>10</v>
      </c>
      <c r="D247">
        <v>4329</v>
      </c>
      <c r="E247">
        <v>860</v>
      </c>
      <c r="F247">
        <v>860</v>
      </c>
      <c r="G247">
        <v>101</v>
      </c>
      <c r="H247" s="2">
        <v>4.7</v>
      </c>
      <c r="I247" s="1">
        <v>45570</v>
      </c>
      <c r="J247">
        <v>860</v>
      </c>
      <c r="K247">
        <f t="shared" si="6"/>
        <v>3469</v>
      </c>
      <c r="L247" t="str">
        <f t="shared" si="7"/>
        <v>Overpriced</v>
      </c>
    </row>
    <row r="248" spans="1:12" x14ac:dyDescent="0.3">
      <c r="A248">
        <v>330</v>
      </c>
      <c r="B248" t="s">
        <v>21</v>
      </c>
      <c r="C248" t="s">
        <v>19</v>
      </c>
      <c r="D248">
        <v>1199</v>
      </c>
      <c r="E248">
        <v>1199</v>
      </c>
      <c r="F248">
        <v>1199</v>
      </c>
      <c r="G248">
        <v>210</v>
      </c>
      <c r="H248" s="2">
        <v>3.9725388601036289</v>
      </c>
      <c r="I248" s="1">
        <v>45624</v>
      </c>
      <c r="J248">
        <v>1199</v>
      </c>
      <c r="K248">
        <f t="shared" si="6"/>
        <v>0</v>
      </c>
      <c r="L248" t="str">
        <f t="shared" si="7"/>
        <v>Competitive</v>
      </c>
    </row>
    <row r="249" spans="1:12" x14ac:dyDescent="0.3">
      <c r="A249">
        <v>332</v>
      </c>
      <c r="B249" t="s">
        <v>21</v>
      </c>
      <c r="C249" t="s">
        <v>12</v>
      </c>
      <c r="D249">
        <v>2094</v>
      </c>
      <c r="E249">
        <v>2094</v>
      </c>
      <c r="F249">
        <v>2094</v>
      </c>
      <c r="G249">
        <v>154</v>
      </c>
      <c r="H249" s="2">
        <v>3.9725388601036289</v>
      </c>
      <c r="I249" s="1">
        <v>45556</v>
      </c>
      <c r="J249">
        <v>2094</v>
      </c>
      <c r="K249">
        <f t="shared" si="6"/>
        <v>0</v>
      </c>
      <c r="L249" t="str">
        <f t="shared" si="7"/>
        <v>Competitive</v>
      </c>
    </row>
    <row r="250" spans="1:12" x14ac:dyDescent="0.3">
      <c r="A250">
        <v>333</v>
      </c>
      <c r="B250" t="s">
        <v>22</v>
      </c>
      <c r="C250" t="s">
        <v>19</v>
      </c>
      <c r="D250">
        <v>4043</v>
      </c>
      <c r="E250">
        <v>3064</v>
      </c>
      <c r="F250">
        <v>5022</v>
      </c>
      <c r="G250">
        <v>451</v>
      </c>
      <c r="H250" s="2">
        <v>3.9725388601036289</v>
      </c>
      <c r="I250" s="1">
        <v>45541</v>
      </c>
      <c r="J250">
        <v>4043</v>
      </c>
      <c r="K250">
        <f t="shared" si="6"/>
        <v>0</v>
      </c>
      <c r="L250" t="str">
        <f t="shared" si="7"/>
        <v>Competitive</v>
      </c>
    </row>
    <row r="251" spans="1:12" x14ac:dyDescent="0.3">
      <c r="A251">
        <v>334</v>
      </c>
      <c r="B251" t="s">
        <v>15</v>
      </c>
      <c r="C251" t="s">
        <v>19</v>
      </c>
      <c r="D251">
        <v>698</v>
      </c>
      <c r="E251">
        <v>698</v>
      </c>
      <c r="F251">
        <v>698</v>
      </c>
      <c r="G251">
        <v>422</v>
      </c>
      <c r="H251" s="2">
        <v>3.9725388601036289</v>
      </c>
      <c r="I251" s="1">
        <v>45611</v>
      </c>
      <c r="J251">
        <v>698</v>
      </c>
      <c r="K251">
        <f t="shared" si="6"/>
        <v>0</v>
      </c>
      <c r="L251" t="str">
        <f t="shared" si="7"/>
        <v>Competitive</v>
      </c>
    </row>
    <row r="252" spans="1:12" x14ac:dyDescent="0.3">
      <c r="A252">
        <v>335</v>
      </c>
      <c r="B252" t="s">
        <v>29</v>
      </c>
      <c r="C252" t="s">
        <v>10</v>
      </c>
      <c r="D252">
        <v>864</v>
      </c>
      <c r="E252">
        <v>864</v>
      </c>
      <c r="F252">
        <v>864</v>
      </c>
      <c r="G252">
        <v>385</v>
      </c>
      <c r="H252" s="2">
        <v>3.9725388601036289</v>
      </c>
      <c r="I252" s="1">
        <v>45599</v>
      </c>
      <c r="J252">
        <v>864</v>
      </c>
      <c r="K252">
        <f t="shared" si="6"/>
        <v>0</v>
      </c>
      <c r="L252" t="str">
        <f t="shared" si="7"/>
        <v>Competitive</v>
      </c>
    </row>
    <row r="253" spans="1:12" x14ac:dyDescent="0.3">
      <c r="A253">
        <v>336</v>
      </c>
      <c r="B253" t="s">
        <v>29</v>
      </c>
      <c r="C253" t="s">
        <v>14</v>
      </c>
      <c r="D253">
        <v>3028</v>
      </c>
      <c r="E253">
        <v>3028</v>
      </c>
      <c r="F253">
        <v>3028</v>
      </c>
      <c r="G253">
        <v>407</v>
      </c>
      <c r="H253" s="2">
        <v>3.9725388601036289</v>
      </c>
      <c r="I253" s="1">
        <v>45557</v>
      </c>
      <c r="J253">
        <v>3028</v>
      </c>
      <c r="K253">
        <f t="shared" si="6"/>
        <v>0</v>
      </c>
      <c r="L253" t="str">
        <f t="shared" si="7"/>
        <v>Competitive</v>
      </c>
    </row>
    <row r="254" spans="1:12" x14ac:dyDescent="0.3">
      <c r="A254">
        <v>337</v>
      </c>
      <c r="B254" t="s">
        <v>27</v>
      </c>
      <c r="C254" t="s">
        <v>16</v>
      </c>
      <c r="D254">
        <v>4271.5</v>
      </c>
      <c r="E254">
        <v>5860</v>
      </c>
      <c r="F254">
        <v>2683</v>
      </c>
      <c r="G254">
        <v>72</v>
      </c>
      <c r="H254" s="2">
        <v>4</v>
      </c>
      <c r="I254" s="1">
        <v>45586</v>
      </c>
      <c r="J254">
        <v>4271.5</v>
      </c>
      <c r="K254">
        <f t="shared" si="6"/>
        <v>0</v>
      </c>
      <c r="L254" t="str">
        <f t="shared" si="7"/>
        <v>Competitive</v>
      </c>
    </row>
    <row r="255" spans="1:12" x14ac:dyDescent="0.3">
      <c r="A255">
        <v>338</v>
      </c>
      <c r="B255" t="s">
        <v>24</v>
      </c>
      <c r="C255" t="s">
        <v>12</v>
      </c>
      <c r="D255">
        <v>5707</v>
      </c>
      <c r="E255">
        <v>2792</v>
      </c>
      <c r="F255">
        <v>2792</v>
      </c>
      <c r="G255">
        <v>481</v>
      </c>
      <c r="H255" s="2">
        <v>3.1</v>
      </c>
      <c r="I255" s="1">
        <v>45605</v>
      </c>
      <c r="J255">
        <v>2792</v>
      </c>
      <c r="K255">
        <f t="shared" si="6"/>
        <v>2915</v>
      </c>
      <c r="L255" t="str">
        <f t="shared" si="7"/>
        <v>Overpriced</v>
      </c>
    </row>
    <row r="256" spans="1:12" x14ac:dyDescent="0.3">
      <c r="A256">
        <v>340</v>
      </c>
      <c r="B256" t="s">
        <v>27</v>
      </c>
      <c r="C256" t="s">
        <v>14</v>
      </c>
      <c r="D256">
        <v>1850</v>
      </c>
      <c r="E256">
        <v>782</v>
      </c>
      <c r="F256">
        <v>782</v>
      </c>
      <c r="G256">
        <v>45</v>
      </c>
      <c r="H256" s="2">
        <v>4</v>
      </c>
      <c r="I256" s="1">
        <v>45615</v>
      </c>
      <c r="J256">
        <v>782</v>
      </c>
      <c r="K256">
        <f t="shared" si="6"/>
        <v>1068</v>
      </c>
      <c r="L256" t="str">
        <f t="shared" si="7"/>
        <v>Overpriced</v>
      </c>
    </row>
    <row r="257" spans="1:12" x14ac:dyDescent="0.3">
      <c r="A257">
        <v>341</v>
      </c>
      <c r="B257" t="s">
        <v>23</v>
      </c>
      <c r="C257" t="s">
        <v>16</v>
      </c>
      <c r="D257">
        <v>5743</v>
      </c>
      <c r="E257">
        <v>749</v>
      </c>
      <c r="F257">
        <v>749</v>
      </c>
      <c r="G257">
        <v>260</v>
      </c>
      <c r="H257" s="2">
        <v>3.4</v>
      </c>
      <c r="I257" s="1">
        <v>45598</v>
      </c>
      <c r="J257">
        <v>749</v>
      </c>
      <c r="K257">
        <f t="shared" si="6"/>
        <v>4994</v>
      </c>
      <c r="L257" t="str">
        <f t="shared" si="7"/>
        <v>Overpriced</v>
      </c>
    </row>
    <row r="258" spans="1:12" x14ac:dyDescent="0.3">
      <c r="A258">
        <v>342</v>
      </c>
      <c r="B258" t="s">
        <v>30</v>
      </c>
      <c r="C258" t="s">
        <v>16</v>
      </c>
      <c r="D258">
        <v>3095</v>
      </c>
      <c r="E258">
        <v>1853</v>
      </c>
      <c r="F258">
        <v>4337</v>
      </c>
      <c r="G258">
        <v>339</v>
      </c>
      <c r="H258" s="2">
        <v>4.0999999999999996</v>
      </c>
      <c r="I258" s="1">
        <v>45547</v>
      </c>
      <c r="J258">
        <v>3095</v>
      </c>
      <c r="K258">
        <f t="shared" si="6"/>
        <v>0</v>
      </c>
      <c r="L258" t="str">
        <f t="shared" si="7"/>
        <v>Competitive</v>
      </c>
    </row>
    <row r="259" spans="1:12" x14ac:dyDescent="0.3">
      <c r="A259">
        <v>344</v>
      </c>
      <c r="B259" t="s">
        <v>27</v>
      </c>
      <c r="C259" t="s">
        <v>12</v>
      </c>
      <c r="D259">
        <v>5308</v>
      </c>
      <c r="E259">
        <v>1829</v>
      </c>
      <c r="F259">
        <v>1829</v>
      </c>
      <c r="G259">
        <v>337</v>
      </c>
      <c r="H259" s="2">
        <v>4.5</v>
      </c>
      <c r="I259" s="1">
        <v>45598</v>
      </c>
      <c r="J259">
        <v>1829</v>
      </c>
      <c r="K259">
        <f t="shared" ref="K259:K322" si="8" xml:space="preserve"> D259 - J259</f>
        <v>3479</v>
      </c>
      <c r="L259" t="str">
        <f t="shared" ref="L259:L322" si="9">IF(K259&gt;100,"Overpriced",IF(K259&lt;-100,"Underpriced","Competitive"))</f>
        <v>Overpriced</v>
      </c>
    </row>
    <row r="260" spans="1:12" x14ac:dyDescent="0.3">
      <c r="A260">
        <v>345</v>
      </c>
      <c r="B260" t="s">
        <v>33</v>
      </c>
      <c r="C260" t="s">
        <v>12</v>
      </c>
      <c r="D260">
        <v>3354</v>
      </c>
      <c r="E260">
        <v>2739</v>
      </c>
      <c r="F260">
        <v>2739</v>
      </c>
      <c r="G260">
        <v>4</v>
      </c>
      <c r="H260" s="2">
        <v>3.9725388601036289</v>
      </c>
      <c r="I260" s="1">
        <v>45554</v>
      </c>
      <c r="J260">
        <v>2739</v>
      </c>
      <c r="K260">
        <f t="shared" si="8"/>
        <v>615</v>
      </c>
      <c r="L260" t="str">
        <f t="shared" si="9"/>
        <v>Overpriced</v>
      </c>
    </row>
    <row r="261" spans="1:12" x14ac:dyDescent="0.3">
      <c r="A261">
        <v>346</v>
      </c>
      <c r="B261" t="s">
        <v>31</v>
      </c>
      <c r="C261" t="s">
        <v>12</v>
      </c>
      <c r="D261">
        <v>1857.5</v>
      </c>
      <c r="E261">
        <v>3113</v>
      </c>
      <c r="F261">
        <v>602</v>
      </c>
      <c r="G261">
        <v>475</v>
      </c>
      <c r="H261" s="2">
        <v>3.9725388601036289</v>
      </c>
      <c r="I261" s="1">
        <v>45622</v>
      </c>
      <c r="J261">
        <v>1857.5</v>
      </c>
      <c r="K261">
        <f t="shared" si="8"/>
        <v>0</v>
      </c>
      <c r="L261" t="str">
        <f t="shared" si="9"/>
        <v>Competitive</v>
      </c>
    </row>
    <row r="262" spans="1:12" x14ac:dyDescent="0.3">
      <c r="A262">
        <v>347</v>
      </c>
      <c r="B262" t="s">
        <v>15</v>
      </c>
      <c r="C262" t="s">
        <v>10</v>
      </c>
      <c r="D262">
        <v>4560</v>
      </c>
      <c r="E262">
        <v>4560</v>
      </c>
      <c r="F262">
        <v>4560</v>
      </c>
      <c r="G262">
        <v>6</v>
      </c>
      <c r="H262" s="2">
        <v>3.4</v>
      </c>
      <c r="I262" s="1">
        <v>45596</v>
      </c>
      <c r="J262">
        <v>4560</v>
      </c>
      <c r="K262">
        <f t="shared" si="8"/>
        <v>0</v>
      </c>
      <c r="L262" t="str">
        <f t="shared" si="9"/>
        <v>Competitive</v>
      </c>
    </row>
    <row r="263" spans="1:12" x14ac:dyDescent="0.3">
      <c r="A263">
        <v>348</v>
      </c>
      <c r="B263" t="s">
        <v>13</v>
      </c>
      <c r="C263" t="s">
        <v>12</v>
      </c>
      <c r="D263">
        <v>3178</v>
      </c>
      <c r="E263">
        <v>3178</v>
      </c>
      <c r="F263">
        <v>3178</v>
      </c>
      <c r="G263">
        <v>208</v>
      </c>
      <c r="H263" s="2">
        <v>3.9725388601036289</v>
      </c>
      <c r="I263" s="1">
        <v>45553</v>
      </c>
      <c r="J263">
        <v>3178</v>
      </c>
      <c r="K263">
        <f t="shared" si="8"/>
        <v>0</v>
      </c>
      <c r="L263" t="str">
        <f t="shared" si="9"/>
        <v>Competitive</v>
      </c>
    </row>
    <row r="264" spans="1:12" x14ac:dyDescent="0.3">
      <c r="A264">
        <v>352</v>
      </c>
      <c r="B264" t="s">
        <v>20</v>
      </c>
      <c r="C264" t="s">
        <v>10</v>
      </c>
      <c r="D264">
        <v>364</v>
      </c>
      <c r="E264">
        <v>5650</v>
      </c>
      <c r="F264">
        <v>1479</v>
      </c>
      <c r="G264">
        <v>195</v>
      </c>
      <c r="H264" s="2">
        <v>3.9</v>
      </c>
      <c r="I264" s="1">
        <v>45586</v>
      </c>
      <c r="J264">
        <v>3564.5</v>
      </c>
      <c r="K264">
        <f t="shared" si="8"/>
        <v>-3200.5</v>
      </c>
      <c r="L264" t="str">
        <f t="shared" si="9"/>
        <v>Underpriced</v>
      </c>
    </row>
    <row r="265" spans="1:12" x14ac:dyDescent="0.3">
      <c r="A265">
        <v>353</v>
      </c>
      <c r="B265" t="s">
        <v>31</v>
      </c>
      <c r="C265" t="s">
        <v>16</v>
      </c>
      <c r="D265">
        <v>4485</v>
      </c>
      <c r="E265">
        <v>2236</v>
      </c>
      <c r="F265">
        <v>4819</v>
      </c>
      <c r="G265">
        <v>406</v>
      </c>
      <c r="H265" s="2">
        <v>3.9725388601036289</v>
      </c>
      <c r="I265" s="1">
        <v>45580</v>
      </c>
      <c r="J265">
        <v>3527.5</v>
      </c>
      <c r="K265">
        <f t="shared" si="8"/>
        <v>957.5</v>
      </c>
      <c r="L265" t="str">
        <f t="shared" si="9"/>
        <v>Overpriced</v>
      </c>
    </row>
    <row r="266" spans="1:12" x14ac:dyDescent="0.3">
      <c r="A266">
        <v>354</v>
      </c>
      <c r="B266" t="s">
        <v>28</v>
      </c>
      <c r="C266" t="s">
        <v>16</v>
      </c>
      <c r="D266">
        <v>1378</v>
      </c>
      <c r="E266">
        <v>589</v>
      </c>
      <c r="F266">
        <v>589</v>
      </c>
      <c r="G266">
        <v>148</v>
      </c>
      <c r="H266" s="2">
        <v>4.3</v>
      </c>
      <c r="I266" s="1">
        <v>45562</v>
      </c>
      <c r="J266">
        <v>589</v>
      </c>
      <c r="K266">
        <f t="shared" si="8"/>
        <v>789</v>
      </c>
      <c r="L266" t="str">
        <f t="shared" si="9"/>
        <v>Overpriced</v>
      </c>
    </row>
    <row r="267" spans="1:12" x14ac:dyDescent="0.3">
      <c r="A267">
        <v>355</v>
      </c>
      <c r="B267" t="s">
        <v>23</v>
      </c>
      <c r="C267" t="s">
        <v>10</v>
      </c>
      <c r="D267">
        <v>4802</v>
      </c>
      <c r="E267">
        <v>1468</v>
      </c>
      <c r="F267">
        <v>1547</v>
      </c>
      <c r="G267">
        <v>86</v>
      </c>
      <c r="H267" s="2">
        <v>3.4</v>
      </c>
      <c r="I267" s="1">
        <v>45554</v>
      </c>
      <c r="J267">
        <v>1507.5</v>
      </c>
      <c r="K267">
        <f t="shared" si="8"/>
        <v>3294.5</v>
      </c>
      <c r="L267" t="str">
        <f t="shared" si="9"/>
        <v>Overpriced</v>
      </c>
    </row>
    <row r="268" spans="1:12" x14ac:dyDescent="0.3">
      <c r="A268">
        <v>356</v>
      </c>
      <c r="B268" t="s">
        <v>26</v>
      </c>
      <c r="C268" t="s">
        <v>12</v>
      </c>
      <c r="D268">
        <v>972</v>
      </c>
      <c r="E268">
        <v>972</v>
      </c>
      <c r="F268">
        <v>972</v>
      </c>
      <c r="G268">
        <v>87</v>
      </c>
      <c r="H268" s="2">
        <v>3.2</v>
      </c>
      <c r="I268" s="1">
        <v>45561</v>
      </c>
      <c r="J268">
        <v>972</v>
      </c>
      <c r="K268">
        <f t="shared" si="8"/>
        <v>0</v>
      </c>
      <c r="L268" t="str">
        <f t="shared" si="9"/>
        <v>Competitive</v>
      </c>
    </row>
    <row r="269" spans="1:12" x14ac:dyDescent="0.3">
      <c r="A269">
        <v>357</v>
      </c>
      <c r="B269" t="s">
        <v>30</v>
      </c>
      <c r="C269" t="s">
        <v>12</v>
      </c>
      <c r="D269">
        <v>4955</v>
      </c>
      <c r="E269">
        <v>4955</v>
      </c>
      <c r="F269">
        <v>4955</v>
      </c>
      <c r="G269">
        <v>52</v>
      </c>
      <c r="H269" s="2">
        <v>4</v>
      </c>
      <c r="I269" s="1">
        <v>45591</v>
      </c>
      <c r="J269">
        <v>4955</v>
      </c>
      <c r="K269">
        <f t="shared" si="8"/>
        <v>0</v>
      </c>
      <c r="L269" t="str">
        <f t="shared" si="9"/>
        <v>Competitive</v>
      </c>
    </row>
    <row r="270" spans="1:12" x14ac:dyDescent="0.3">
      <c r="A270">
        <v>358</v>
      </c>
      <c r="B270" t="s">
        <v>29</v>
      </c>
      <c r="C270" t="s">
        <v>19</v>
      </c>
      <c r="D270">
        <v>1401</v>
      </c>
      <c r="E270">
        <v>1401</v>
      </c>
      <c r="F270">
        <v>1401</v>
      </c>
      <c r="G270">
        <v>113</v>
      </c>
      <c r="H270" s="2">
        <v>3.9725388601036289</v>
      </c>
      <c r="I270" s="1">
        <v>45618</v>
      </c>
      <c r="J270">
        <v>1401</v>
      </c>
      <c r="K270">
        <f t="shared" si="8"/>
        <v>0</v>
      </c>
      <c r="L270" t="str">
        <f t="shared" si="9"/>
        <v>Competitive</v>
      </c>
    </row>
    <row r="271" spans="1:12" x14ac:dyDescent="0.3">
      <c r="A271">
        <v>360</v>
      </c>
      <c r="B271" t="s">
        <v>33</v>
      </c>
      <c r="C271" t="s">
        <v>10</v>
      </c>
      <c r="D271">
        <v>4600</v>
      </c>
      <c r="E271">
        <v>5268</v>
      </c>
      <c r="F271">
        <v>1012</v>
      </c>
      <c r="G271">
        <v>167</v>
      </c>
      <c r="H271" s="2">
        <v>4.7</v>
      </c>
      <c r="I271" s="1">
        <v>45585</v>
      </c>
      <c r="J271">
        <v>3140</v>
      </c>
      <c r="K271">
        <f t="shared" si="8"/>
        <v>1460</v>
      </c>
      <c r="L271" t="str">
        <f t="shared" si="9"/>
        <v>Overpriced</v>
      </c>
    </row>
    <row r="272" spans="1:12" x14ac:dyDescent="0.3">
      <c r="A272">
        <v>362</v>
      </c>
      <c r="B272" t="s">
        <v>28</v>
      </c>
      <c r="C272" t="s">
        <v>12</v>
      </c>
      <c r="D272">
        <v>3024</v>
      </c>
      <c r="E272">
        <v>3024</v>
      </c>
      <c r="F272">
        <v>3024</v>
      </c>
      <c r="G272">
        <v>198</v>
      </c>
      <c r="H272" s="2">
        <v>3.9725388601036289</v>
      </c>
      <c r="I272" s="1">
        <v>45549</v>
      </c>
      <c r="J272">
        <v>3024</v>
      </c>
      <c r="K272">
        <f t="shared" si="8"/>
        <v>0</v>
      </c>
      <c r="L272" t="str">
        <f t="shared" si="9"/>
        <v>Competitive</v>
      </c>
    </row>
    <row r="273" spans="1:12" x14ac:dyDescent="0.3">
      <c r="A273">
        <v>364</v>
      </c>
      <c r="B273" t="s">
        <v>26</v>
      </c>
      <c r="C273" t="s">
        <v>10</v>
      </c>
      <c r="D273">
        <v>1870</v>
      </c>
      <c r="E273">
        <v>5407</v>
      </c>
      <c r="F273">
        <v>4420</v>
      </c>
      <c r="G273">
        <v>350</v>
      </c>
      <c r="H273" s="2">
        <v>3.9725388601036289</v>
      </c>
      <c r="I273" s="1">
        <v>45578</v>
      </c>
      <c r="J273">
        <v>4913.5</v>
      </c>
      <c r="K273">
        <f t="shared" si="8"/>
        <v>-3043.5</v>
      </c>
      <c r="L273" t="str">
        <f t="shared" si="9"/>
        <v>Underpriced</v>
      </c>
    </row>
    <row r="274" spans="1:12" x14ac:dyDescent="0.3">
      <c r="A274">
        <v>365</v>
      </c>
      <c r="B274" t="s">
        <v>20</v>
      </c>
      <c r="C274" t="s">
        <v>12</v>
      </c>
      <c r="D274">
        <v>1691</v>
      </c>
      <c r="E274">
        <v>1321</v>
      </c>
      <c r="F274">
        <v>1039</v>
      </c>
      <c r="G274">
        <v>225</v>
      </c>
      <c r="H274" s="2">
        <v>4.0999999999999996</v>
      </c>
      <c r="I274" s="1">
        <v>45576</v>
      </c>
      <c r="J274">
        <v>1180</v>
      </c>
      <c r="K274">
        <f t="shared" si="8"/>
        <v>511</v>
      </c>
      <c r="L274" t="str">
        <f t="shared" si="9"/>
        <v>Overpriced</v>
      </c>
    </row>
    <row r="275" spans="1:12" x14ac:dyDescent="0.3">
      <c r="A275">
        <v>367</v>
      </c>
      <c r="B275" t="s">
        <v>25</v>
      </c>
      <c r="C275" t="s">
        <v>16</v>
      </c>
      <c r="D275">
        <v>1743</v>
      </c>
      <c r="E275">
        <v>1743</v>
      </c>
      <c r="F275">
        <v>1743</v>
      </c>
      <c r="G275">
        <v>452</v>
      </c>
      <c r="H275" s="2">
        <v>3.9725388601036289</v>
      </c>
      <c r="I275" s="1">
        <v>45575</v>
      </c>
      <c r="J275">
        <v>1743</v>
      </c>
      <c r="K275">
        <f t="shared" si="8"/>
        <v>0</v>
      </c>
      <c r="L275" t="str">
        <f t="shared" si="9"/>
        <v>Competitive</v>
      </c>
    </row>
    <row r="276" spans="1:12" x14ac:dyDescent="0.3">
      <c r="A276">
        <v>368</v>
      </c>
      <c r="B276" t="s">
        <v>17</v>
      </c>
      <c r="C276" t="s">
        <v>10</v>
      </c>
      <c r="D276">
        <v>3107.5</v>
      </c>
      <c r="E276">
        <v>5911</v>
      </c>
      <c r="F276">
        <v>304</v>
      </c>
      <c r="G276">
        <v>144</v>
      </c>
      <c r="H276" s="2">
        <v>3.5</v>
      </c>
      <c r="I276" s="1">
        <v>45550</v>
      </c>
      <c r="J276">
        <v>3107.5</v>
      </c>
      <c r="K276">
        <f t="shared" si="8"/>
        <v>0</v>
      </c>
      <c r="L276" t="str">
        <f t="shared" si="9"/>
        <v>Competitive</v>
      </c>
    </row>
    <row r="277" spans="1:12" x14ac:dyDescent="0.3">
      <c r="A277">
        <v>369</v>
      </c>
      <c r="B277" t="s">
        <v>27</v>
      </c>
      <c r="C277" t="s">
        <v>10</v>
      </c>
      <c r="D277">
        <v>2528</v>
      </c>
      <c r="E277">
        <v>3643</v>
      </c>
      <c r="F277">
        <v>3643</v>
      </c>
      <c r="G277">
        <v>373</v>
      </c>
      <c r="H277" s="2">
        <v>3.9725388601036289</v>
      </c>
      <c r="I277" s="1">
        <v>45583</v>
      </c>
      <c r="J277">
        <v>3643</v>
      </c>
      <c r="K277">
        <f t="shared" si="8"/>
        <v>-1115</v>
      </c>
      <c r="L277" t="str">
        <f t="shared" si="9"/>
        <v>Underpriced</v>
      </c>
    </row>
    <row r="278" spans="1:12" x14ac:dyDescent="0.3">
      <c r="A278">
        <v>371</v>
      </c>
      <c r="B278" t="s">
        <v>27</v>
      </c>
      <c r="C278" t="s">
        <v>16</v>
      </c>
      <c r="D278">
        <v>5257</v>
      </c>
      <c r="E278">
        <v>1093</v>
      </c>
      <c r="F278">
        <v>4131</v>
      </c>
      <c r="G278">
        <v>32</v>
      </c>
      <c r="H278" s="2">
        <v>3.9725388601036289</v>
      </c>
      <c r="I278" s="1">
        <v>45572</v>
      </c>
      <c r="J278">
        <v>2612</v>
      </c>
      <c r="K278">
        <f t="shared" si="8"/>
        <v>2645</v>
      </c>
      <c r="L278" t="str">
        <f t="shared" si="9"/>
        <v>Overpriced</v>
      </c>
    </row>
    <row r="279" spans="1:12" x14ac:dyDescent="0.3">
      <c r="A279">
        <v>372</v>
      </c>
      <c r="B279" t="s">
        <v>20</v>
      </c>
      <c r="C279" t="s">
        <v>10</v>
      </c>
      <c r="D279">
        <v>2853</v>
      </c>
      <c r="E279">
        <v>3749</v>
      </c>
      <c r="F279">
        <v>5513</v>
      </c>
      <c r="G279">
        <v>410</v>
      </c>
      <c r="H279" s="2">
        <v>4.2</v>
      </c>
      <c r="I279" s="1">
        <v>45588</v>
      </c>
      <c r="J279">
        <v>4631</v>
      </c>
      <c r="K279">
        <f t="shared" si="8"/>
        <v>-1778</v>
      </c>
      <c r="L279" t="str">
        <f t="shared" si="9"/>
        <v>Underpriced</v>
      </c>
    </row>
    <row r="280" spans="1:12" x14ac:dyDescent="0.3">
      <c r="A280">
        <v>373</v>
      </c>
      <c r="B280" t="s">
        <v>20</v>
      </c>
      <c r="C280" t="s">
        <v>10</v>
      </c>
      <c r="D280">
        <v>368</v>
      </c>
      <c r="E280">
        <v>672</v>
      </c>
      <c r="F280">
        <v>1441</v>
      </c>
      <c r="G280">
        <v>144</v>
      </c>
      <c r="H280" s="2">
        <v>3.8</v>
      </c>
      <c r="I280" s="1">
        <v>45624</v>
      </c>
      <c r="J280">
        <v>1056.5</v>
      </c>
      <c r="K280">
        <f t="shared" si="8"/>
        <v>-688.5</v>
      </c>
      <c r="L280" t="str">
        <f t="shared" si="9"/>
        <v>Underpriced</v>
      </c>
    </row>
    <row r="281" spans="1:12" x14ac:dyDescent="0.3">
      <c r="A281">
        <v>374</v>
      </c>
      <c r="B281" t="s">
        <v>20</v>
      </c>
      <c r="C281" t="s">
        <v>19</v>
      </c>
      <c r="D281">
        <v>1523</v>
      </c>
      <c r="E281">
        <v>1523</v>
      </c>
      <c r="F281">
        <v>1523</v>
      </c>
      <c r="G281">
        <v>249</v>
      </c>
      <c r="H281" s="2">
        <v>4.3</v>
      </c>
      <c r="I281" s="1">
        <v>45536</v>
      </c>
      <c r="J281">
        <v>1523</v>
      </c>
      <c r="K281">
        <f t="shared" si="8"/>
        <v>0</v>
      </c>
      <c r="L281" t="str">
        <f t="shared" si="9"/>
        <v>Competitive</v>
      </c>
    </row>
    <row r="282" spans="1:12" x14ac:dyDescent="0.3">
      <c r="A282">
        <v>375</v>
      </c>
      <c r="B282" t="s">
        <v>22</v>
      </c>
      <c r="C282" t="s">
        <v>14</v>
      </c>
      <c r="D282">
        <v>1677</v>
      </c>
      <c r="E282">
        <v>1677</v>
      </c>
      <c r="F282">
        <v>1677</v>
      </c>
      <c r="G282">
        <v>192</v>
      </c>
      <c r="H282" s="2">
        <v>4.7</v>
      </c>
      <c r="I282" s="1">
        <v>45626</v>
      </c>
      <c r="J282">
        <v>1677</v>
      </c>
      <c r="K282">
        <f t="shared" si="8"/>
        <v>0</v>
      </c>
      <c r="L282" t="str">
        <f t="shared" si="9"/>
        <v>Competitive</v>
      </c>
    </row>
    <row r="283" spans="1:12" x14ac:dyDescent="0.3">
      <c r="A283">
        <v>376</v>
      </c>
      <c r="B283" t="s">
        <v>26</v>
      </c>
      <c r="C283" t="s">
        <v>12</v>
      </c>
      <c r="D283">
        <v>751</v>
      </c>
      <c r="E283">
        <v>850</v>
      </c>
      <c r="F283">
        <v>652</v>
      </c>
      <c r="G283">
        <v>48</v>
      </c>
      <c r="H283" s="2">
        <v>3.9725388601036289</v>
      </c>
      <c r="I283" s="1">
        <v>45569</v>
      </c>
      <c r="J283">
        <v>751</v>
      </c>
      <c r="K283">
        <f t="shared" si="8"/>
        <v>0</v>
      </c>
      <c r="L283" t="str">
        <f t="shared" si="9"/>
        <v>Competitive</v>
      </c>
    </row>
    <row r="284" spans="1:12" x14ac:dyDescent="0.3">
      <c r="A284">
        <v>377</v>
      </c>
      <c r="B284" t="s">
        <v>25</v>
      </c>
      <c r="C284" t="s">
        <v>19</v>
      </c>
      <c r="D284">
        <v>1229</v>
      </c>
      <c r="E284">
        <v>5665</v>
      </c>
      <c r="F284">
        <v>5665</v>
      </c>
      <c r="G284">
        <v>258</v>
      </c>
      <c r="H284" s="2">
        <v>3.7</v>
      </c>
      <c r="I284" s="1">
        <v>45547</v>
      </c>
      <c r="J284">
        <v>5665</v>
      </c>
      <c r="K284">
        <f t="shared" si="8"/>
        <v>-4436</v>
      </c>
      <c r="L284" t="str">
        <f t="shared" si="9"/>
        <v>Underpriced</v>
      </c>
    </row>
    <row r="285" spans="1:12" x14ac:dyDescent="0.3">
      <c r="A285">
        <v>378</v>
      </c>
      <c r="B285" t="s">
        <v>15</v>
      </c>
      <c r="C285" t="s">
        <v>10</v>
      </c>
      <c r="D285">
        <v>2225</v>
      </c>
      <c r="E285">
        <v>4821</v>
      </c>
      <c r="F285">
        <v>4821</v>
      </c>
      <c r="G285">
        <v>483</v>
      </c>
      <c r="H285" s="2">
        <v>4.5</v>
      </c>
      <c r="I285" s="1">
        <v>45558</v>
      </c>
      <c r="J285">
        <v>4821</v>
      </c>
      <c r="K285">
        <f t="shared" si="8"/>
        <v>-2596</v>
      </c>
      <c r="L285" t="str">
        <f t="shared" si="9"/>
        <v>Underpriced</v>
      </c>
    </row>
    <row r="286" spans="1:12" x14ac:dyDescent="0.3">
      <c r="A286">
        <v>379</v>
      </c>
      <c r="B286" t="s">
        <v>11</v>
      </c>
      <c r="C286" t="s">
        <v>16</v>
      </c>
      <c r="D286">
        <v>4446.5</v>
      </c>
      <c r="E286">
        <v>4413</v>
      </c>
      <c r="F286">
        <v>4480</v>
      </c>
      <c r="G286">
        <v>287</v>
      </c>
      <c r="H286" s="2">
        <v>3.9725388601036289</v>
      </c>
      <c r="I286" s="1">
        <v>45563</v>
      </c>
      <c r="J286">
        <v>4446.5</v>
      </c>
      <c r="K286">
        <f t="shared" si="8"/>
        <v>0</v>
      </c>
      <c r="L286" t="str">
        <f t="shared" si="9"/>
        <v>Competitive</v>
      </c>
    </row>
    <row r="287" spans="1:12" x14ac:dyDescent="0.3">
      <c r="A287">
        <v>380</v>
      </c>
      <c r="B287" t="s">
        <v>26</v>
      </c>
      <c r="C287" t="s">
        <v>10</v>
      </c>
      <c r="D287">
        <v>930.5</v>
      </c>
      <c r="E287">
        <v>1323</v>
      </c>
      <c r="F287">
        <v>538</v>
      </c>
      <c r="G287">
        <v>58</v>
      </c>
      <c r="H287" s="2">
        <v>4.7</v>
      </c>
      <c r="I287" s="1">
        <v>45539</v>
      </c>
      <c r="J287">
        <v>930.5</v>
      </c>
      <c r="K287">
        <f t="shared" si="8"/>
        <v>0</v>
      </c>
      <c r="L287" t="str">
        <f t="shared" si="9"/>
        <v>Competitive</v>
      </c>
    </row>
    <row r="288" spans="1:12" x14ac:dyDescent="0.3">
      <c r="A288">
        <v>381</v>
      </c>
      <c r="B288" t="s">
        <v>25</v>
      </c>
      <c r="C288" t="s">
        <v>12</v>
      </c>
      <c r="D288">
        <v>5448</v>
      </c>
      <c r="E288">
        <v>5618</v>
      </c>
      <c r="F288">
        <v>5618</v>
      </c>
      <c r="G288">
        <v>458</v>
      </c>
      <c r="H288" s="2">
        <v>4.8</v>
      </c>
      <c r="I288" s="1">
        <v>45592</v>
      </c>
      <c r="J288">
        <v>5618</v>
      </c>
      <c r="K288">
        <f t="shared" si="8"/>
        <v>-170</v>
      </c>
      <c r="L288" t="str">
        <f t="shared" si="9"/>
        <v>Underpriced</v>
      </c>
    </row>
    <row r="289" spans="1:12" x14ac:dyDescent="0.3">
      <c r="A289">
        <v>382</v>
      </c>
      <c r="B289" t="s">
        <v>31</v>
      </c>
      <c r="C289" t="s">
        <v>16</v>
      </c>
      <c r="D289">
        <v>1942</v>
      </c>
      <c r="E289">
        <v>5971</v>
      </c>
      <c r="F289">
        <v>5971</v>
      </c>
      <c r="G289">
        <v>323</v>
      </c>
      <c r="H289" s="2">
        <v>3.9725388601036289</v>
      </c>
      <c r="I289" s="1">
        <v>45547</v>
      </c>
      <c r="J289">
        <v>5971</v>
      </c>
      <c r="K289">
        <f t="shared" si="8"/>
        <v>-4029</v>
      </c>
      <c r="L289" t="str">
        <f t="shared" si="9"/>
        <v>Underpriced</v>
      </c>
    </row>
    <row r="290" spans="1:12" x14ac:dyDescent="0.3">
      <c r="A290">
        <v>383</v>
      </c>
      <c r="B290" t="s">
        <v>22</v>
      </c>
      <c r="C290" t="s">
        <v>12</v>
      </c>
      <c r="D290">
        <v>4568</v>
      </c>
      <c r="E290">
        <v>4568</v>
      </c>
      <c r="F290">
        <v>4568</v>
      </c>
      <c r="G290">
        <v>283</v>
      </c>
      <c r="H290" s="2">
        <v>3.9725388601036289</v>
      </c>
      <c r="I290" s="1">
        <v>45556</v>
      </c>
      <c r="J290">
        <v>4568</v>
      </c>
      <c r="K290">
        <f t="shared" si="8"/>
        <v>0</v>
      </c>
      <c r="L290" t="str">
        <f t="shared" si="9"/>
        <v>Competitive</v>
      </c>
    </row>
    <row r="291" spans="1:12" x14ac:dyDescent="0.3">
      <c r="A291">
        <v>384</v>
      </c>
      <c r="B291" t="s">
        <v>27</v>
      </c>
      <c r="C291" t="s">
        <v>10</v>
      </c>
      <c r="D291">
        <v>5361</v>
      </c>
      <c r="E291">
        <v>5051</v>
      </c>
      <c r="F291">
        <v>5051</v>
      </c>
      <c r="G291">
        <v>88</v>
      </c>
      <c r="H291" s="2">
        <v>4.4000000000000004</v>
      </c>
      <c r="I291" s="1">
        <v>45603</v>
      </c>
      <c r="J291">
        <v>5051</v>
      </c>
      <c r="K291">
        <f t="shared" si="8"/>
        <v>310</v>
      </c>
      <c r="L291" t="str">
        <f t="shared" si="9"/>
        <v>Overpriced</v>
      </c>
    </row>
    <row r="292" spans="1:12" x14ac:dyDescent="0.3">
      <c r="A292">
        <v>386</v>
      </c>
      <c r="B292" t="s">
        <v>23</v>
      </c>
      <c r="C292" t="s">
        <v>14</v>
      </c>
      <c r="D292">
        <v>4585</v>
      </c>
      <c r="E292">
        <v>4345</v>
      </c>
      <c r="F292">
        <v>3755</v>
      </c>
      <c r="G292">
        <v>305</v>
      </c>
      <c r="H292" s="2">
        <v>3.9725388601036289</v>
      </c>
      <c r="I292" s="1">
        <v>45577</v>
      </c>
      <c r="J292">
        <v>4050</v>
      </c>
      <c r="K292">
        <f t="shared" si="8"/>
        <v>535</v>
      </c>
      <c r="L292" t="str">
        <f t="shared" si="9"/>
        <v>Overpriced</v>
      </c>
    </row>
    <row r="293" spans="1:12" x14ac:dyDescent="0.3">
      <c r="A293">
        <v>387</v>
      </c>
      <c r="B293" t="s">
        <v>25</v>
      </c>
      <c r="C293" t="s">
        <v>19</v>
      </c>
      <c r="D293">
        <v>5936</v>
      </c>
      <c r="E293">
        <v>5936</v>
      </c>
      <c r="F293">
        <v>5936</v>
      </c>
      <c r="G293">
        <v>321</v>
      </c>
      <c r="H293" s="2">
        <v>3.2</v>
      </c>
      <c r="I293" s="1">
        <v>45554</v>
      </c>
      <c r="J293">
        <v>5936</v>
      </c>
      <c r="K293">
        <f t="shared" si="8"/>
        <v>0</v>
      </c>
      <c r="L293" t="str">
        <f t="shared" si="9"/>
        <v>Competitive</v>
      </c>
    </row>
    <row r="294" spans="1:12" x14ac:dyDescent="0.3">
      <c r="A294">
        <v>388</v>
      </c>
      <c r="B294" t="s">
        <v>33</v>
      </c>
      <c r="C294" t="s">
        <v>12</v>
      </c>
      <c r="D294">
        <v>1030</v>
      </c>
      <c r="E294">
        <v>4703</v>
      </c>
      <c r="F294">
        <v>4703</v>
      </c>
      <c r="G294">
        <v>88</v>
      </c>
      <c r="H294" s="2">
        <v>3.7</v>
      </c>
      <c r="I294" s="1">
        <v>45577</v>
      </c>
      <c r="J294">
        <v>4703</v>
      </c>
      <c r="K294">
        <f t="shared" si="8"/>
        <v>-3673</v>
      </c>
      <c r="L294" t="str">
        <f t="shared" si="9"/>
        <v>Underpriced</v>
      </c>
    </row>
    <row r="295" spans="1:12" x14ac:dyDescent="0.3">
      <c r="A295">
        <v>390</v>
      </c>
      <c r="B295" t="s">
        <v>22</v>
      </c>
      <c r="C295" t="s">
        <v>12</v>
      </c>
      <c r="D295">
        <v>1429</v>
      </c>
      <c r="E295">
        <v>1313</v>
      </c>
      <c r="F295">
        <v>1545</v>
      </c>
      <c r="G295">
        <v>96</v>
      </c>
      <c r="H295" s="2">
        <v>4.0999999999999996</v>
      </c>
      <c r="I295" s="1">
        <v>45608</v>
      </c>
      <c r="J295">
        <v>1429</v>
      </c>
      <c r="K295">
        <f t="shared" si="8"/>
        <v>0</v>
      </c>
      <c r="L295" t="str">
        <f t="shared" si="9"/>
        <v>Competitive</v>
      </c>
    </row>
    <row r="296" spans="1:12" x14ac:dyDescent="0.3">
      <c r="A296">
        <v>391</v>
      </c>
      <c r="B296" t="s">
        <v>31</v>
      </c>
      <c r="C296" t="s">
        <v>10</v>
      </c>
      <c r="D296">
        <v>4174</v>
      </c>
      <c r="E296">
        <v>4174</v>
      </c>
      <c r="F296">
        <v>4174</v>
      </c>
      <c r="G296">
        <v>453</v>
      </c>
      <c r="H296" s="2">
        <v>3.9725388601036289</v>
      </c>
      <c r="I296" s="1">
        <v>45542</v>
      </c>
      <c r="J296">
        <v>4174</v>
      </c>
      <c r="K296">
        <f t="shared" si="8"/>
        <v>0</v>
      </c>
      <c r="L296" t="str">
        <f t="shared" si="9"/>
        <v>Competitive</v>
      </c>
    </row>
    <row r="297" spans="1:12" x14ac:dyDescent="0.3">
      <c r="A297">
        <v>392</v>
      </c>
      <c r="B297" t="s">
        <v>13</v>
      </c>
      <c r="C297" t="s">
        <v>14</v>
      </c>
      <c r="D297">
        <v>5437</v>
      </c>
      <c r="E297">
        <v>5182</v>
      </c>
      <c r="F297">
        <v>5182</v>
      </c>
      <c r="G297">
        <v>124</v>
      </c>
      <c r="H297" s="2">
        <v>4.5999999999999996</v>
      </c>
      <c r="I297" s="1">
        <v>45590</v>
      </c>
      <c r="J297">
        <v>5182</v>
      </c>
      <c r="K297">
        <f t="shared" si="8"/>
        <v>255</v>
      </c>
      <c r="L297" t="str">
        <f t="shared" si="9"/>
        <v>Overpriced</v>
      </c>
    </row>
    <row r="298" spans="1:12" x14ac:dyDescent="0.3">
      <c r="A298">
        <v>393</v>
      </c>
      <c r="B298" t="s">
        <v>23</v>
      </c>
      <c r="C298" t="s">
        <v>10</v>
      </c>
      <c r="D298">
        <v>2905.5</v>
      </c>
      <c r="E298">
        <v>3576</v>
      </c>
      <c r="F298">
        <v>2235</v>
      </c>
      <c r="G298">
        <v>74</v>
      </c>
      <c r="H298" s="2">
        <v>4.3</v>
      </c>
      <c r="I298" s="1">
        <v>45568</v>
      </c>
      <c r="J298">
        <v>2905.5</v>
      </c>
      <c r="K298">
        <f t="shared" si="8"/>
        <v>0</v>
      </c>
      <c r="L298" t="str">
        <f t="shared" si="9"/>
        <v>Competitive</v>
      </c>
    </row>
    <row r="299" spans="1:12" x14ac:dyDescent="0.3">
      <c r="A299">
        <v>394</v>
      </c>
      <c r="B299" t="s">
        <v>28</v>
      </c>
      <c r="C299" t="s">
        <v>16</v>
      </c>
      <c r="D299">
        <v>2559</v>
      </c>
      <c r="E299">
        <v>4409</v>
      </c>
      <c r="F299">
        <v>5253</v>
      </c>
      <c r="G299">
        <v>366</v>
      </c>
      <c r="H299" s="2">
        <v>3.5</v>
      </c>
      <c r="I299" s="1">
        <v>45587</v>
      </c>
      <c r="J299">
        <v>4831</v>
      </c>
      <c r="K299">
        <f t="shared" si="8"/>
        <v>-2272</v>
      </c>
      <c r="L299" t="str">
        <f t="shared" si="9"/>
        <v>Underpriced</v>
      </c>
    </row>
    <row r="300" spans="1:12" x14ac:dyDescent="0.3">
      <c r="A300">
        <v>395</v>
      </c>
      <c r="B300" t="s">
        <v>9</v>
      </c>
      <c r="C300" t="s">
        <v>16</v>
      </c>
      <c r="D300">
        <v>4586</v>
      </c>
      <c r="E300">
        <v>3078</v>
      </c>
      <c r="F300">
        <v>1479</v>
      </c>
      <c r="G300">
        <v>468</v>
      </c>
      <c r="H300" s="2">
        <v>3.9725388601036289</v>
      </c>
      <c r="I300" s="1">
        <v>45556</v>
      </c>
      <c r="J300">
        <v>2278.5</v>
      </c>
      <c r="K300">
        <f t="shared" si="8"/>
        <v>2307.5</v>
      </c>
      <c r="L300" t="str">
        <f t="shared" si="9"/>
        <v>Overpriced</v>
      </c>
    </row>
    <row r="301" spans="1:12" x14ac:dyDescent="0.3">
      <c r="A301">
        <v>396</v>
      </c>
      <c r="B301" t="s">
        <v>20</v>
      </c>
      <c r="C301" t="s">
        <v>16</v>
      </c>
      <c r="D301">
        <v>3621</v>
      </c>
      <c r="E301">
        <v>3621</v>
      </c>
      <c r="F301">
        <v>3621</v>
      </c>
      <c r="G301">
        <v>42</v>
      </c>
      <c r="H301" s="2">
        <v>3.9725388601036289</v>
      </c>
      <c r="I301" s="1">
        <v>45582</v>
      </c>
      <c r="J301">
        <v>3621</v>
      </c>
      <c r="K301">
        <f t="shared" si="8"/>
        <v>0</v>
      </c>
      <c r="L301" t="str">
        <f t="shared" si="9"/>
        <v>Competitive</v>
      </c>
    </row>
    <row r="302" spans="1:12" x14ac:dyDescent="0.3">
      <c r="A302">
        <v>397</v>
      </c>
      <c r="B302" t="s">
        <v>21</v>
      </c>
      <c r="C302" t="s">
        <v>12</v>
      </c>
      <c r="D302">
        <v>3444</v>
      </c>
      <c r="E302">
        <v>741</v>
      </c>
      <c r="F302">
        <v>5252</v>
      </c>
      <c r="G302">
        <v>75</v>
      </c>
      <c r="H302" s="2">
        <v>4.5999999999999996</v>
      </c>
      <c r="I302" s="1">
        <v>45598</v>
      </c>
      <c r="J302">
        <v>2996.5</v>
      </c>
      <c r="K302">
        <f t="shared" si="8"/>
        <v>447.5</v>
      </c>
      <c r="L302" t="str">
        <f t="shared" si="9"/>
        <v>Overpriced</v>
      </c>
    </row>
    <row r="303" spans="1:12" x14ac:dyDescent="0.3">
      <c r="A303">
        <v>398</v>
      </c>
      <c r="B303" t="s">
        <v>24</v>
      </c>
      <c r="C303" t="s">
        <v>12</v>
      </c>
      <c r="D303">
        <v>268</v>
      </c>
      <c r="E303">
        <v>2337</v>
      </c>
      <c r="F303">
        <v>2864</v>
      </c>
      <c r="G303">
        <v>348</v>
      </c>
      <c r="H303" s="2">
        <v>4</v>
      </c>
      <c r="I303" s="1">
        <v>45561</v>
      </c>
      <c r="J303">
        <v>2600.5</v>
      </c>
      <c r="K303">
        <f t="shared" si="8"/>
        <v>-2332.5</v>
      </c>
      <c r="L303" t="str">
        <f t="shared" si="9"/>
        <v>Underpriced</v>
      </c>
    </row>
    <row r="304" spans="1:12" x14ac:dyDescent="0.3">
      <c r="A304">
        <v>399</v>
      </c>
      <c r="B304" t="s">
        <v>17</v>
      </c>
      <c r="C304" t="s">
        <v>19</v>
      </c>
      <c r="D304">
        <v>4285</v>
      </c>
      <c r="E304">
        <v>1651</v>
      </c>
      <c r="F304">
        <v>1651</v>
      </c>
      <c r="G304">
        <v>167</v>
      </c>
      <c r="H304" s="2">
        <v>3.9725388601036289</v>
      </c>
      <c r="I304" s="1">
        <v>45536</v>
      </c>
      <c r="J304">
        <v>1651</v>
      </c>
      <c r="K304">
        <f t="shared" si="8"/>
        <v>2634</v>
      </c>
      <c r="L304" t="str">
        <f t="shared" si="9"/>
        <v>Overpriced</v>
      </c>
    </row>
    <row r="305" spans="1:12" x14ac:dyDescent="0.3">
      <c r="A305">
        <v>402</v>
      </c>
      <c r="B305" t="s">
        <v>13</v>
      </c>
      <c r="C305" t="s">
        <v>19</v>
      </c>
      <c r="D305">
        <v>4643</v>
      </c>
      <c r="E305">
        <v>4643</v>
      </c>
      <c r="F305">
        <v>4643</v>
      </c>
      <c r="G305">
        <v>55</v>
      </c>
      <c r="H305" s="2">
        <v>4.5</v>
      </c>
      <c r="I305" s="1">
        <v>45594</v>
      </c>
      <c r="J305">
        <v>4643</v>
      </c>
      <c r="K305">
        <f t="shared" si="8"/>
        <v>0</v>
      </c>
      <c r="L305" t="str">
        <f t="shared" si="9"/>
        <v>Competitive</v>
      </c>
    </row>
    <row r="306" spans="1:12" x14ac:dyDescent="0.3">
      <c r="A306">
        <v>403</v>
      </c>
      <c r="B306" t="s">
        <v>22</v>
      </c>
      <c r="C306" t="s">
        <v>12</v>
      </c>
      <c r="D306">
        <v>3540</v>
      </c>
      <c r="E306">
        <v>3540</v>
      </c>
      <c r="F306">
        <v>3540</v>
      </c>
      <c r="G306">
        <v>283</v>
      </c>
      <c r="H306" s="2">
        <v>3.9725388601036289</v>
      </c>
      <c r="I306" s="1">
        <v>45602</v>
      </c>
      <c r="J306">
        <v>3540</v>
      </c>
      <c r="K306">
        <f t="shared" si="8"/>
        <v>0</v>
      </c>
      <c r="L306" t="str">
        <f t="shared" si="9"/>
        <v>Competitive</v>
      </c>
    </row>
    <row r="307" spans="1:12" x14ac:dyDescent="0.3">
      <c r="A307">
        <v>404</v>
      </c>
      <c r="B307" t="s">
        <v>15</v>
      </c>
      <c r="C307" t="s">
        <v>16</v>
      </c>
      <c r="D307">
        <v>4351</v>
      </c>
      <c r="E307">
        <v>1977</v>
      </c>
      <c r="F307">
        <v>1977</v>
      </c>
      <c r="G307">
        <v>25</v>
      </c>
      <c r="H307" s="2">
        <v>3.9725388601036289</v>
      </c>
      <c r="I307" s="1">
        <v>45573</v>
      </c>
      <c r="J307">
        <v>1977</v>
      </c>
      <c r="K307">
        <f t="shared" si="8"/>
        <v>2374</v>
      </c>
      <c r="L307" t="str">
        <f t="shared" si="9"/>
        <v>Overpriced</v>
      </c>
    </row>
    <row r="308" spans="1:12" x14ac:dyDescent="0.3">
      <c r="A308">
        <v>405</v>
      </c>
      <c r="B308" t="s">
        <v>33</v>
      </c>
      <c r="C308" t="s">
        <v>12</v>
      </c>
      <c r="D308">
        <v>2650</v>
      </c>
      <c r="E308">
        <v>2650</v>
      </c>
      <c r="F308">
        <v>2650</v>
      </c>
      <c r="G308">
        <v>22</v>
      </c>
      <c r="H308" s="2">
        <v>3.9725388601036289</v>
      </c>
      <c r="I308" s="1">
        <v>45559</v>
      </c>
      <c r="J308">
        <v>2650</v>
      </c>
      <c r="K308">
        <f t="shared" si="8"/>
        <v>0</v>
      </c>
      <c r="L308" t="str">
        <f t="shared" si="9"/>
        <v>Competitive</v>
      </c>
    </row>
    <row r="309" spans="1:12" x14ac:dyDescent="0.3">
      <c r="A309">
        <v>406</v>
      </c>
      <c r="B309" t="s">
        <v>25</v>
      </c>
      <c r="C309" t="s">
        <v>10</v>
      </c>
      <c r="D309">
        <v>3689</v>
      </c>
      <c r="E309">
        <v>3689</v>
      </c>
      <c r="F309">
        <v>3689</v>
      </c>
      <c r="G309">
        <v>256</v>
      </c>
      <c r="H309" s="2">
        <v>3.7</v>
      </c>
      <c r="I309" s="1">
        <v>45575</v>
      </c>
      <c r="J309">
        <v>3689</v>
      </c>
      <c r="K309">
        <f t="shared" si="8"/>
        <v>0</v>
      </c>
      <c r="L309" t="str">
        <f t="shared" si="9"/>
        <v>Competitive</v>
      </c>
    </row>
    <row r="310" spans="1:12" x14ac:dyDescent="0.3">
      <c r="A310">
        <v>407</v>
      </c>
      <c r="B310" t="s">
        <v>13</v>
      </c>
      <c r="C310" t="s">
        <v>10</v>
      </c>
      <c r="D310">
        <v>5097</v>
      </c>
      <c r="E310">
        <v>1336</v>
      </c>
      <c r="F310">
        <v>1336</v>
      </c>
      <c r="G310">
        <v>421</v>
      </c>
      <c r="H310" s="2">
        <v>3.2</v>
      </c>
      <c r="I310" s="1">
        <v>45571</v>
      </c>
      <c r="J310">
        <v>1336</v>
      </c>
      <c r="K310">
        <f t="shared" si="8"/>
        <v>3761</v>
      </c>
      <c r="L310" t="str">
        <f t="shared" si="9"/>
        <v>Overpriced</v>
      </c>
    </row>
    <row r="311" spans="1:12" x14ac:dyDescent="0.3">
      <c r="A311">
        <v>409</v>
      </c>
      <c r="B311" t="s">
        <v>13</v>
      </c>
      <c r="C311" t="s">
        <v>12</v>
      </c>
      <c r="D311">
        <v>5937</v>
      </c>
      <c r="E311">
        <v>5937</v>
      </c>
      <c r="F311">
        <v>5937</v>
      </c>
      <c r="G311">
        <v>355</v>
      </c>
      <c r="H311" s="2">
        <v>3.9725388601036289</v>
      </c>
      <c r="I311" s="1">
        <v>45609</v>
      </c>
      <c r="J311">
        <v>5937</v>
      </c>
      <c r="K311">
        <f t="shared" si="8"/>
        <v>0</v>
      </c>
      <c r="L311" t="str">
        <f t="shared" si="9"/>
        <v>Competitive</v>
      </c>
    </row>
    <row r="312" spans="1:12" x14ac:dyDescent="0.3">
      <c r="A312">
        <v>411</v>
      </c>
      <c r="B312" t="s">
        <v>9</v>
      </c>
      <c r="C312" t="s">
        <v>10</v>
      </c>
      <c r="D312">
        <v>1028</v>
      </c>
      <c r="E312">
        <v>4511</v>
      </c>
      <c r="F312">
        <v>4511</v>
      </c>
      <c r="G312">
        <v>134</v>
      </c>
      <c r="H312" s="2">
        <v>4.8</v>
      </c>
      <c r="I312" s="1">
        <v>45537</v>
      </c>
      <c r="J312">
        <v>4511</v>
      </c>
      <c r="K312">
        <f t="shared" si="8"/>
        <v>-3483</v>
      </c>
      <c r="L312" t="str">
        <f t="shared" si="9"/>
        <v>Underpriced</v>
      </c>
    </row>
    <row r="313" spans="1:12" x14ac:dyDescent="0.3">
      <c r="A313">
        <v>412</v>
      </c>
      <c r="B313" t="s">
        <v>23</v>
      </c>
      <c r="C313" t="s">
        <v>19</v>
      </c>
      <c r="D313">
        <v>1959</v>
      </c>
      <c r="E313">
        <v>3194</v>
      </c>
      <c r="F313">
        <v>3194</v>
      </c>
      <c r="G313">
        <v>170</v>
      </c>
      <c r="H313" s="2">
        <v>3.9725388601036289</v>
      </c>
      <c r="I313" s="1">
        <v>45547</v>
      </c>
      <c r="J313">
        <v>3194</v>
      </c>
      <c r="K313">
        <f t="shared" si="8"/>
        <v>-1235</v>
      </c>
      <c r="L313" t="str">
        <f t="shared" si="9"/>
        <v>Underpriced</v>
      </c>
    </row>
    <row r="314" spans="1:12" x14ac:dyDescent="0.3">
      <c r="A314">
        <v>413</v>
      </c>
      <c r="B314" t="s">
        <v>23</v>
      </c>
      <c r="C314" t="s">
        <v>10</v>
      </c>
      <c r="D314">
        <v>3612</v>
      </c>
      <c r="E314">
        <v>3612</v>
      </c>
      <c r="F314">
        <v>3612</v>
      </c>
      <c r="G314">
        <v>72</v>
      </c>
      <c r="H314" s="2">
        <v>3.9725388601036289</v>
      </c>
      <c r="I314" s="1">
        <v>45570</v>
      </c>
      <c r="J314">
        <v>3612</v>
      </c>
      <c r="K314">
        <f t="shared" si="8"/>
        <v>0</v>
      </c>
      <c r="L314" t="str">
        <f t="shared" si="9"/>
        <v>Competitive</v>
      </c>
    </row>
    <row r="315" spans="1:12" x14ac:dyDescent="0.3">
      <c r="A315">
        <v>414</v>
      </c>
      <c r="B315" t="s">
        <v>30</v>
      </c>
      <c r="C315" t="s">
        <v>16</v>
      </c>
      <c r="D315">
        <v>3637</v>
      </c>
      <c r="E315">
        <v>5513</v>
      </c>
      <c r="F315">
        <v>5513</v>
      </c>
      <c r="G315">
        <v>326</v>
      </c>
      <c r="H315" s="2">
        <v>3.3</v>
      </c>
      <c r="I315" s="1">
        <v>45556</v>
      </c>
      <c r="J315">
        <v>5513</v>
      </c>
      <c r="K315">
        <f t="shared" si="8"/>
        <v>-1876</v>
      </c>
      <c r="L315" t="str">
        <f t="shared" si="9"/>
        <v>Underpriced</v>
      </c>
    </row>
    <row r="316" spans="1:12" x14ac:dyDescent="0.3">
      <c r="A316">
        <v>415</v>
      </c>
      <c r="B316" t="s">
        <v>21</v>
      </c>
      <c r="C316" t="s">
        <v>19</v>
      </c>
      <c r="D316">
        <v>1280</v>
      </c>
      <c r="E316">
        <v>3576</v>
      </c>
      <c r="F316">
        <v>3576</v>
      </c>
      <c r="G316">
        <v>293</v>
      </c>
      <c r="H316" s="2">
        <v>4.7</v>
      </c>
      <c r="I316" s="1">
        <v>45570</v>
      </c>
      <c r="J316">
        <v>3576</v>
      </c>
      <c r="K316">
        <f t="shared" si="8"/>
        <v>-2296</v>
      </c>
      <c r="L316" t="str">
        <f t="shared" si="9"/>
        <v>Underpriced</v>
      </c>
    </row>
    <row r="317" spans="1:12" x14ac:dyDescent="0.3">
      <c r="A317">
        <v>417</v>
      </c>
      <c r="B317" t="s">
        <v>20</v>
      </c>
      <c r="C317" t="s">
        <v>14</v>
      </c>
      <c r="D317">
        <v>343</v>
      </c>
      <c r="E317">
        <v>1213</v>
      </c>
      <c r="F317">
        <v>1213</v>
      </c>
      <c r="G317">
        <v>31</v>
      </c>
      <c r="H317" s="2">
        <v>3.9725388601036289</v>
      </c>
      <c r="I317" s="1">
        <v>45593</v>
      </c>
      <c r="J317">
        <v>1213</v>
      </c>
      <c r="K317">
        <f t="shared" si="8"/>
        <v>-870</v>
      </c>
      <c r="L317" t="str">
        <f t="shared" si="9"/>
        <v>Underpriced</v>
      </c>
    </row>
    <row r="318" spans="1:12" x14ac:dyDescent="0.3">
      <c r="A318">
        <v>418</v>
      </c>
      <c r="B318" t="s">
        <v>13</v>
      </c>
      <c r="C318" t="s">
        <v>19</v>
      </c>
      <c r="D318">
        <v>5984</v>
      </c>
      <c r="E318">
        <v>1973</v>
      </c>
      <c r="F318">
        <v>1973</v>
      </c>
      <c r="G318">
        <v>367</v>
      </c>
      <c r="H318" s="2">
        <v>3.9725388601036289</v>
      </c>
      <c r="I318" s="1">
        <v>45558</v>
      </c>
      <c r="J318">
        <v>1973</v>
      </c>
      <c r="K318">
        <f t="shared" si="8"/>
        <v>4011</v>
      </c>
      <c r="L318" t="str">
        <f t="shared" si="9"/>
        <v>Overpriced</v>
      </c>
    </row>
    <row r="319" spans="1:12" x14ac:dyDescent="0.3">
      <c r="A319">
        <v>419</v>
      </c>
      <c r="B319" t="s">
        <v>17</v>
      </c>
      <c r="C319" t="s">
        <v>16</v>
      </c>
      <c r="D319">
        <v>2076</v>
      </c>
      <c r="E319">
        <v>2076</v>
      </c>
      <c r="F319">
        <v>2076</v>
      </c>
      <c r="G319">
        <v>179</v>
      </c>
      <c r="H319" s="2">
        <v>4.5999999999999996</v>
      </c>
      <c r="I319" s="1">
        <v>45599</v>
      </c>
      <c r="J319">
        <v>2076</v>
      </c>
      <c r="K319">
        <f t="shared" si="8"/>
        <v>0</v>
      </c>
      <c r="L319" t="str">
        <f t="shared" si="9"/>
        <v>Competitive</v>
      </c>
    </row>
    <row r="320" spans="1:12" x14ac:dyDescent="0.3">
      <c r="A320">
        <v>420</v>
      </c>
      <c r="B320" t="s">
        <v>33</v>
      </c>
      <c r="C320" t="s">
        <v>16</v>
      </c>
      <c r="D320">
        <v>5101</v>
      </c>
      <c r="E320">
        <v>1285</v>
      </c>
      <c r="F320">
        <v>1285</v>
      </c>
      <c r="G320">
        <v>155</v>
      </c>
      <c r="H320" s="2">
        <v>3.9725388601036289</v>
      </c>
      <c r="I320" s="1">
        <v>45538</v>
      </c>
      <c r="J320">
        <v>1285</v>
      </c>
      <c r="K320">
        <f t="shared" si="8"/>
        <v>3816</v>
      </c>
      <c r="L320" t="str">
        <f t="shared" si="9"/>
        <v>Overpriced</v>
      </c>
    </row>
    <row r="321" spans="1:12" x14ac:dyDescent="0.3">
      <c r="A321">
        <v>421</v>
      </c>
      <c r="B321" t="s">
        <v>25</v>
      </c>
      <c r="C321" t="s">
        <v>12</v>
      </c>
      <c r="D321">
        <v>5290</v>
      </c>
      <c r="E321">
        <v>5290</v>
      </c>
      <c r="F321">
        <v>5290</v>
      </c>
      <c r="G321">
        <v>286</v>
      </c>
      <c r="H321" s="2">
        <v>3.1</v>
      </c>
      <c r="I321" s="1">
        <v>45568</v>
      </c>
      <c r="J321">
        <v>5290</v>
      </c>
      <c r="K321">
        <f t="shared" si="8"/>
        <v>0</v>
      </c>
      <c r="L321" t="str">
        <f t="shared" si="9"/>
        <v>Competitive</v>
      </c>
    </row>
    <row r="322" spans="1:12" x14ac:dyDescent="0.3">
      <c r="A322">
        <v>423</v>
      </c>
      <c r="B322" t="s">
        <v>20</v>
      </c>
      <c r="C322" t="s">
        <v>12</v>
      </c>
      <c r="D322">
        <v>208</v>
      </c>
      <c r="E322">
        <v>2793</v>
      </c>
      <c r="F322">
        <v>4737</v>
      </c>
      <c r="G322">
        <v>476</v>
      </c>
      <c r="H322" s="2">
        <v>4.8</v>
      </c>
      <c r="I322" s="1">
        <v>45541</v>
      </c>
      <c r="J322">
        <v>3765</v>
      </c>
      <c r="K322">
        <f t="shared" si="8"/>
        <v>-3557</v>
      </c>
      <c r="L322" t="str">
        <f t="shared" si="9"/>
        <v>Underpriced</v>
      </c>
    </row>
    <row r="323" spans="1:12" x14ac:dyDescent="0.3">
      <c r="A323">
        <v>424</v>
      </c>
      <c r="B323" t="s">
        <v>27</v>
      </c>
      <c r="C323" t="s">
        <v>16</v>
      </c>
      <c r="D323">
        <v>4920</v>
      </c>
      <c r="E323">
        <v>4920</v>
      </c>
      <c r="F323">
        <v>4920</v>
      </c>
      <c r="G323">
        <v>442</v>
      </c>
      <c r="H323" s="2">
        <v>3.9725388601036289</v>
      </c>
      <c r="I323" s="1">
        <v>45588</v>
      </c>
      <c r="J323">
        <v>4920</v>
      </c>
      <c r="K323">
        <f t="shared" ref="K323:K381" si="10" xml:space="preserve"> D323 - J323</f>
        <v>0</v>
      </c>
      <c r="L323" t="str">
        <f t="shared" ref="L323:L381" si="11">IF(K323&gt;100,"Overpriced",IF(K323&lt;-100,"Underpriced","Competitive"))</f>
        <v>Competitive</v>
      </c>
    </row>
    <row r="324" spans="1:12" x14ac:dyDescent="0.3">
      <c r="A324">
        <v>425</v>
      </c>
      <c r="B324" t="s">
        <v>33</v>
      </c>
      <c r="C324" t="s">
        <v>12</v>
      </c>
      <c r="D324">
        <v>2918</v>
      </c>
      <c r="E324">
        <v>2918</v>
      </c>
      <c r="F324">
        <v>2918</v>
      </c>
      <c r="G324">
        <v>221</v>
      </c>
      <c r="H324" s="2">
        <v>3.2</v>
      </c>
      <c r="I324" s="1">
        <v>45622</v>
      </c>
      <c r="J324">
        <v>2918</v>
      </c>
      <c r="K324">
        <f t="shared" si="10"/>
        <v>0</v>
      </c>
      <c r="L324" t="str">
        <f t="shared" si="11"/>
        <v>Competitive</v>
      </c>
    </row>
    <row r="325" spans="1:12" x14ac:dyDescent="0.3">
      <c r="A325">
        <v>426</v>
      </c>
      <c r="B325" t="s">
        <v>11</v>
      </c>
      <c r="C325" t="s">
        <v>14</v>
      </c>
      <c r="D325">
        <v>330</v>
      </c>
      <c r="E325">
        <v>4302</v>
      </c>
      <c r="F325">
        <v>4302</v>
      </c>
      <c r="G325">
        <v>233</v>
      </c>
      <c r="H325" s="2">
        <v>3.9725388601036289</v>
      </c>
      <c r="I325" s="1">
        <v>45545</v>
      </c>
      <c r="J325">
        <v>4302</v>
      </c>
      <c r="K325">
        <f t="shared" si="10"/>
        <v>-3972</v>
      </c>
      <c r="L325" t="str">
        <f t="shared" si="11"/>
        <v>Underpriced</v>
      </c>
    </row>
    <row r="326" spans="1:12" x14ac:dyDescent="0.3">
      <c r="A326">
        <v>427</v>
      </c>
      <c r="B326" t="s">
        <v>28</v>
      </c>
      <c r="C326" t="s">
        <v>10</v>
      </c>
      <c r="D326">
        <v>5546</v>
      </c>
      <c r="E326">
        <v>520</v>
      </c>
      <c r="F326">
        <v>4602</v>
      </c>
      <c r="G326">
        <v>43</v>
      </c>
      <c r="H326" s="2">
        <v>4.3</v>
      </c>
      <c r="I326" s="1">
        <v>45601</v>
      </c>
      <c r="J326">
        <v>2561</v>
      </c>
      <c r="K326">
        <f t="shared" si="10"/>
        <v>2985</v>
      </c>
      <c r="L326" t="str">
        <f t="shared" si="11"/>
        <v>Overpriced</v>
      </c>
    </row>
    <row r="327" spans="1:12" x14ac:dyDescent="0.3">
      <c r="A327">
        <v>428</v>
      </c>
      <c r="B327" t="s">
        <v>20</v>
      </c>
      <c r="C327" t="s">
        <v>19</v>
      </c>
      <c r="D327">
        <v>2265.5</v>
      </c>
      <c r="E327">
        <v>3888</v>
      </c>
      <c r="F327">
        <v>643</v>
      </c>
      <c r="G327">
        <v>377</v>
      </c>
      <c r="H327" s="2">
        <v>4.7</v>
      </c>
      <c r="I327" s="1">
        <v>45600</v>
      </c>
      <c r="J327">
        <v>2265.5</v>
      </c>
      <c r="K327">
        <f t="shared" si="10"/>
        <v>0</v>
      </c>
      <c r="L327" t="str">
        <f t="shared" si="11"/>
        <v>Competitive</v>
      </c>
    </row>
    <row r="328" spans="1:12" x14ac:dyDescent="0.3">
      <c r="A328">
        <v>429</v>
      </c>
      <c r="B328" t="s">
        <v>13</v>
      </c>
      <c r="C328" t="s">
        <v>12</v>
      </c>
      <c r="D328">
        <v>3577</v>
      </c>
      <c r="E328">
        <v>1328</v>
      </c>
      <c r="F328">
        <v>1328</v>
      </c>
      <c r="G328">
        <v>465</v>
      </c>
      <c r="H328" s="2">
        <v>3.9725388601036289</v>
      </c>
      <c r="I328" s="1">
        <v>45582</v>
      </c>
      <c r="J328">
        <v>1328</v>
      </c>
      <c r="K328">
        <f t="shared" si="10"/>
        <v>2249</v>
      </c>
      <c r="L328" t="str">
        <f t="shared" si="11"/>
        <v>Overpriced</v>
      </c>
    </row>
    <row r="329" spans="1:12" x14ac:dyDescent="0.3">
      <c r="A329">
        <v>430</v>
      </c>
      <c r="B329" t="s">
        <v>20</v>
      </c>
      <c r="C329" t="s">
        <v>12</v>
      </c>
      <c r="D329">
        <v>3320.5</v>
      </c>
      <c r="E329">
        <v>3551</v>
      </c>
      <c r="F329">
        <v>3090</v>
      </c>
      <c r="G329">
        <v>188</v>
      </c>
      <c r="H329" s="2">
        <v>3.7</v>
      </c>
      <c r="I329" s="1">
        <v>45569</v>
      </c>
      <c r="J329">
        <v>3320.5</v>
      </c>
      <c r="K329">
        <f t="shared" si="10"/>
        <v>0</v>
      </c>
      <c r="L329" t="str">
        <f t="shared" si="11"/>
        <v>Competitive</v>
      </c>
    </row>
    <row r="330" spans="1:12" x14ac:dyDescent="0.3">
      <c r="A330">
        <v>431</v>
      </c>
      <c r="B330" t="s">
        <v>17</v>
      </c>
      <c r="C330" t="s">
        <v>19</v>
      </c>
      <c r="D330">
        <v>4998</v>
      </c>
      <c r="E330">
        <v>4998</v>
      </c>
      <c r="F330">
        <v>4998</v>
      </c>
      <c r="G330">
        <v>173</v>
      </c>
      <c r="H330" s="2">
        <v>3.9725388601036289</v>
      </c>
      <c r="I330" s="1">
        <v>45577</v>
      </c>
      <c r="J330">
        <v>4998</v>
      </c>
      <c r="K330">
        <f t="shared" si="10"/>
        <v>0</v>
      </c>
      <c r="L330" t="str">
        <f t="shared" si="11"/>
        <v>Competitive</v>
      </c>
    </row>
    <row r="331" spans="1:12" x14ac:dyDescent="0.3">
      <c r="A331">
        <v>432</v>
      </c>
      <c r="B331" t="s">
        <v>13</v>
      </c>
      <c r="C331" t="s">
        <v>19</v>
      </c>
      <c r="D331">
        <v>268</v>
      </c>
      <c r="E331">
        <v>2451</v>
      </c>
      <c r="F331">
        <v>2451</v>
      </c>
      <c r="G331">
        <v>324</v>
      </c>
      <c r="H331" s="2">
        <v>3.9725388601036289</v>
      </c>
      <c r="I331" s="1">
        <v>45579</v>
      </c>
      <c r="J331">
        <v>2451</v>
      </c>
      <c r="K331">
        <f t="shared" si="10"/>
        <v>-2183</v>
      </c>
      <c r="L331" t="str">
        <f t="shared" si="11"/>
        <v>Underpriced</v>
      </c>
    </row>
    <row r="332" spans="1:12" x14ac:dyDescent="0.3">
      <c r="A332">
        <v>433</v>
      </c>
      <c r="B332" t="s">
        <v>18</v>
      </c>
      <c r="C332" t="s">
        <v>14</v>
      </c>
      <c r="D332">
        <v>4980</v>
      </c>
      <c r="E332">
        <v>5389</v>
      </c>
      <c r="F332">
        <v>5389</v>
      </c>
      <c r="G332">
        <v>236</v>
      </c>
      <c r="H332" s="2">
        <v>3.9725388601036289</v>
      </c>
      <c r="I332" s="1">
        <v>45619</v>
      </c>
      <c r="J332">
        <v>5389</v>
      </c>
      <c r="K332">
        <f t="shared" si="10"/>
        <v>-409</v>
      </c>
      <c r="L332" t="str">
        <f t="shared" si="11"/>
        <v>Underpriced</v>
      </c>
    </row>
    <row r="333" spans="1:12" x14ac:dyDescent="0.3">
      <c r="A333">
        <v>434</v>
      </c>
      <c r="B333" t="s">
        <v>30</v>
      </c>
      <c r="C333" t="s">
        <v>14</v>
      </c>
      <c r="D333">
        <v>3084.5</v>
      </c>
      <c r="E333">
        <v>2668</v>
      </c>
      <c r="F333">
        <v>3501</v>
      </c>
      <c r="G333">
        <v>155</v>
      </c>
      <c r="H333" s="2">
        <v>3.9725388601036289</v>
      </c>
      <c r="I333" s="1">
        <v>45570</v>
      </c>
      <c r="J333">
        <v>3084.5</v>
      </c>
      <c r="K333">
        <f t="shared" si="10"/>
        <v>0</v>
      </c>
      <c r="L333" t="str">
        <f t="shared" si="11"/>
        <v>Competitive</v>
      </c>
    </row>
    <row r="334" spans="1:12" x14ac:dyDescent="0.3">
      <c r="A334">
        <v>435</v>
      </c>
      <c r="B334" t="s">
        <v>27</v>
      </c>
      <c r="C334" t="s">
        <v>19</v>
      </c>
      <c r="D334">
        <v>4972</v>
      </c>
      <c r="E334">
        <v>286</v>
      </c>
      <c r="F334">
        <v>286</v>
      </c>
      <c r="G334">
        <v>308</v>
      </c>
      <c r="H334" s="2">
        <v>3.9725388601036289</v>
      </c>
      <c r="I334" s="1">
        <v>45623</v>
      </c>
      <c r="J334">
        <v>286</v>
      </c>
      <c r="K334">
        <f t="shared" si="10"/>
        <v>4686</v>
      </c>
      <c r="L334" t="str">
        <f t="shared" si="11"/>
        <v>Overpriced</v>
      </c>
    </row>
    <row r="335" spans="1:12" x14ac:dyDescent="0.3">
      <c r="A335">
        <v>436</v>
      </c>
      <c r="B335" t="s">
        <v>29</v>
      </c>
      <c r="C335" t="s">
        <v>19</v>
      </c>
      <c r="D335">
        <v>3645</v>
      </c>
      <c r="E335">
        <v>3645</v>
      </c>
      <c r="F335">
        <v>3645</v>
      </c>
      <c r="G335">
        <v>111</v>
      </c>
      <c r="H335" s="2">
        <v>3.9725388601036289</v>
      </c>
      <c r="I335" s="1">
        <v>45612</v>
      </c>
      <c r="J335">
        <v>3645</v>
      </c>
      <c r="K335">
        <f t="shared" si="10"/>
        <v>0</v>
      </c>
      <c r="L335" t="str">
        <f t="shared" si="11"/>
        <v>Competitive</v>
      </c>
    </row>
    <row r="336" spans="1:12" x14ac:dyDescent="0.3">
      <c r="A336">
        <v>437</v>
      </c>
      <c r="B336" t="s">
        <v>9</v>
      </c>
      <c r="C336" t="s">
        <v>16</v>
      </c>
      <c r="D336">
        <v>5831</v>
      </c>
      <c r="E336">
        <v>5831</v>
      </c>
      <c r="F336">
        <v>5831</v>
      </c>
      <c r="G336">
        <v>400</v>
      </c>
      <c r="H336" s="2">
        <v>3.9</v>
      </c>
      <c r="I336" s="1">
        <v>45567</v>
      </c>
      <c r="J336">
        <v>5831</v>
      </c>
      <c r="K336">
        <f t="shared" si="10"/>
        <v>0</v>
      </c>
      <c r="L336" t="str">
        <f t="shared" si="11"/>
        <v>Competitive</v>
      </c>
    </row>
    <row r="337" spans="1:12" x14ac:dyDescent="0.3">
      <c r="A337">
        <v>438</v>
      </c>
      <c r="B337" t="s">
        <v>31</v>
      </c>
      <c r="C337" t="s">
        <v>16</v>
      </c>
      <c r="D337">
        <v>3281</v>
      </c>
      <c r="E337">
        <v>365</v>
      </c>
      <c r="F337">
        <v>365</v>
      </c>
      <c r="G337">
        <v>291</v>
      </c>
      <c r="H337" s="2">
        <v>3.9725388601036289</v>
      </c>
      <c r="I337" s="1">
        <v>45566</v>
      </c>
      <c r="J337">
        <v>365</v>
      </c>
      <c r="K337">
        <f t="shared" si="10"/>
        <v>2916</v>
      </c>
      <c r="L337" t="str">
        <f t="shared" si="11"/>
        <v>Overpriced</v>
      </c>
    </row>
    <row r="338" spans="1:12" x14ac:dyDescent="0.3">
      <c r="A338">
        <v>441</v>
      </c>
      <c r="B338" t="s">
        <v>30</v>
      </c>
      <c r="C338" t="s">
        <v>16</v>
      </c>
      <c r="D338">
        <v>1056</v>
      </c>
      <c r="E338">
        <v>5087</v>
      </c>
      <c r="F338">
        <v>4292</v>
      </c>
      <c r="G338">
        <v>72</v>
      </c>
      <c r="H338" s="2">
        <v>3.9725388601036289</v>
      </c>
      <c r="I338" s="1">
        <v>45545</v>
      </c>
      <c r="J338">
        <v>4689.5</v>
      </c>
      <c r="K338">
        <f t="shared" si="10"/>
        <v>-3633.5</v>
      </c>
      <c r="L338" t="str">
        <f t="shared" si="11"/>
        <v>Underpriced</v>
      </c>
    </row>
    <row r="339" spans="1:12" x14ac:dyDescent="0.3">
      <c r="A339">
        <v>443</v>
      </c>
      <c r="B339" t="s">
        <v>29</v>
      </c>
      <c r="C339" t="s">
        <v>19</v>
      </c>
      <c r="D339">
        <v>1740</v>
      </c>
      <c r="E339">
        <v>1740</v>
      </c>
      <c r="F339">
        <v>1740</v>
      </c>
      <c r="G339">
        <v>175</v>
      </c>
      <c r="H339" s="2">
        <v>3.9725388601036289</v>
      </c>
      <c r="I339" s="1">
        <v>45594</v>
      </c>
      <c r="J339">
        <v>1740</v>
      </c>
      <c r="K339">
        <f t="shared" si="10"/>
        <v>0</v>
      </c>
      <c r="L339" t="str">
        <f t="shared" si="11"/>
        <v>Competitive</v>
      </c>
    </row>
    <row r="340" spans="1:12" x14ac:dyDescent="0.3">
      <c r="A340">
        <v>444</v>
      </c>
      <c r="B340" t="s">
        <v>20</v>
      </c>
      <c r="C340" t="s">
        <v>12</v>
      </c>
      <c r="D340">
        <v>1050</v>
      </c>
      <c r="E340">
        <v>1050</v>
      </c>
      <c r="F340">
        <v>1050</v>
      </c>
      <c r="G340">
        <v>285</v>
      </c>
      <c r="H340" s="2">
        <v>3.6</v>
      </c>
      <c r="I340" s="1">
        <v>45579</v>
      </c>
      <c r="J340">
        <v>1050</v>
      </c>
      <c r="K340">
        <f t="shared" si="10"/>
        <v>0</v>
      </c>
      <c r="L340" t="str">
        <f t="shared" si="11"/>
        <v>Competitive</v>
      </c>
    </row>
    <row r="341" spans="1:12" x14ac:dyDescent="0.3">
      <c r="A341">
        <v>445</v>
      </c>
      <c r="B341" t="s">
        <v>15</v>
      </c>
      <c r="C341" t="s">
        <v>19</v>
      </c>
      <c r="D341">
        <v>4086</v>
      </c>
      <c r="E341">
        <v>3005</v>
      </c>
      <c r="F341">
        <v>5167</v>
      </c>
      <c r="G341">
        <v>369</v>
      </c>
      <c r="H341" s="2">
        <v>3.9725388601036289</v>
      </c>
      <c r="I341" s="1">
        <v>45591</v>
      </c>
      <c r="J341">
        <v>4086</v>
      </c>
      <c r="K341">
        <f t="shared" si="10"/>
        <v>0</v>
      </c>
      <c r="L341" t="str">
        <f t="shared" si="11"/>
        <v>Competitive</v>
      </c>
    </row>
    <row r="342" spans="1:12" x14ac:dyDescent="0.3">
      <c r="A342">
        <v>447</v>
      </c>
      <c r="B342" t="s">
        <v>23</v>
      </c>
      <c r="C342" t="s">
        <v>16</v>
      </c>
      <c r="D342">
        <v>4675</v>
      </c>
      <c r="E342">
        <v>4675</v>
      </c>
      <c r="F342">
        <v>4675</v>
      </c>
      <c r="G342">
        <v>290</v>
      </c>
      <c r="H342" s="2">
        <v>3.1</v>
      </c>
      <c r="I342" s="1">
        <v>45564</v>
      </c>
      <c r="J342">
        <v>4675</v>
      </c>
      <c r="K342">
        <f t="shared" si="10"/>
        <v>0</v>
      </c>
      <c r="L342" t="str">
        <f t="shared" si="11"/>
        <v>Competitive</v>
      </c>
    </row>
    <row r="343" spans="1:12" x14ac:dyDescent="0.3">
      <c r="A343">
        <v>450</v>
      </c>
      <c r="B343" t="s">
        <v>15</v>
      </c>
      <c r="C343" t="s">
        <v>12</v>
      </c>
      <c r="D343">
        <v>5257</v>
      </c>
      <c r="E343">
        <v>5257</v>
      </c>
      <c r="F343">
        <v>5257</v>
      </c>
      <c r="G343">
        <v>26</v>
      </c>
      <c r="H343" s="2">
        <v>3.7</v>
      </c>
      <c r="I343" s="1">
        <v>45540</v>
      </c>
      <c r="J343">
        <v>5257</v>
      </c>
      <c r="K343">
        <f t="shared" si="10"/>
        <v>0</v>
      </c>
      <c r="L343" t="str">
        <f t="shared" si="11"/>
        <v>Competitive</v>
      </c>
    </row>
    <row r="344" spans="1:12" x14ac:dyDescent="0.3">
      <c r="A344">
        <v>451</v>
      </c>
      <c r="B344" t="s">
        <v>15</v>
      </c>
      <c r="C344" t="s">
        <v>16</v>
      </c>
      <c r="D344">
        <v>4568</v>
      </c>
      <c r="E344">
        <v>1214</v>
      </c>
      <c r="F344">
        <v>1214</v>
      </c>
      <c r="G344">
        <v>189</v>
      </c>
      <c r="H344" s="2">
        <v>3.1</v>
      </c>
      <c r="I344" s="1">
        <v>45572</v>
      </c>
      <c r="J344">
        <v>1214</v>
      </c>
      <c r="K344">
        <f t="shared" si="10"/>
        <v>3354</v>
      </c>
      <c r="L344" t="str">
        <f t="shared" si="11"/>
        <v>Overpriced</v>
      </c>
    </row>
    <row r="345" spans="1:12" x14ac:dyDescent="0.3">
      <c r="A345">
        <v>453</v>
      </c>
      <c r="B345" t="s">
        <v>17</v>
      </c>
      <c r="C345" t="s">
        <v>19</v>
      </c>
      <c r="D345">
        <v>1666</v>
      </c>
      <c r="E345">
        <v>3575</v>
      </c>
      <c r="F345">
        <v>3575</v>
      </c>
      <c r="G345">
        <v>322</v>
      </c>
      <c r="H345" s="2">
        <v>3.9725388601036289</v>
      </c>
      <c r="I345" s="1">
        <v>45592</v>
      </c>
      <c r="J345">
        <v>3575</v>
      </c>
      <c r="K345">
        <f t="shared" si="10"/>
        <v>-1909</v>
      </c>
      <c r="L345" t="str">
        <f t="shared" si="11"/>
        <v>Underpriced</v>
      </c>
    </row>
    <row r="346" spans="1:12" x14ac:dyDescent="0.3">
      <c r="A346">
        <v>454</v>
      </c>
      <c r="B346" t="s">
        <v>25</v>
      </c>
      <c r="C346" t="s">
        <v>14</v>
      </c>
      <c r="D346">
        <v>4074</v>
      </c>
      <c r="E346">
        <v>4074</v>
      </c>
      <c r="F346">
        <v>4074</v>
      </c>
      <c r="G346">
        <v>256</v>
      </c>
      <c r="H346" s="2">
        <v>4.3</v>
      </c>
      <c r="I346" s="1">
        <v>45552</v>
      </c>
      <c r="J346">
        <v>4074</v>
      </c>
      <c r="K346">
        <f t="shared" si="10"/>
        <v>0</v>
      </c>
      <c r="L346" t="str">
        <f t="shared" si="11"/>
        <v>Competitive</v>
      </c>
    </row>
    <row r="347" spans="1:12" x14ac:dyDescent="0.3">
      <c r="A347">
        <v>455</v>
      </c>
      <c r="B347" t="s">
        <v>29</v>
      </c>
      <c r="C347" t="s">
        <v>16</v>
      </c>
      <c r="D347">
        <v>4064</v>
      </c>
      <c r="E347">
        <v>4064</v>
      </c>
      <c r="F347">
        <v>4064</v>
      </c>
      <c r="G347">
        <v>138</v>
      </c>
      <c r="H347" s="2">
        <v>3.4</v>
      </c>
      <c r="I347" s="1">
        <v>45588</v>
      </c>
      <c r="J347">
        <v>4064</v>
      </c>
      <c r="K347">
        <f t="shared" si="10"/>
        <v>0</v>
      </c>
      <c r="L347" t="str">
        <f t="shared" si="11"/>
        <v>Competitive</v>
      </c>
    </row>
    <row r="348" spans="1:12" x14ac:dyDescent="0.3">
      <c r="A348">
        <v>456</v>
      </c>
      <c r="B348" t="s">
        <v>32</v>
      </c>
      <c r="C348" t="s">
        <v>10</v>
      </c>
      <c r="D348">
        <v>2200</v>
      </c>
      <c r="E348">
        <v>2200</v>
      </c>
      <c r="F348">
        <v>2200</v>
      </c>
      <c r="G348">
        <v>475</v>
      </c>
      <c r="H348" s="2">
        <v>3.9725388601036289</v>
      </c>
      <c r="I348" s="1">
        <v>45587</v>
      </c>
      <c r="J348">
        <v>2200</v>
      </c>
      <c r="K348">
        <f t="shared" si="10"/>
        <v>0</v>
      </c>
      <c r="L348" t="str">
        <f t="shared" si="11"/>
        <v>Competitive</v>
      </c>
    </row>
    <row r="349" spans="1:12" x14ac:dyDescent="0.3">
      <c r="A349">
        <v>457</v>
      </c>
      <c r="B349" t="s">
        <v>29</v>
      </c>
      <c r="C349" t="s">
        <v>12</v>
      </c>
      <c r="D349">
        <v>1063</v>
      </c>
      <c r="E349">
        <v>2762</v>
      </c>
      <c r="F349">
        <v>2762</v>
      </c>
      <c r="G349">
        <v>166</v>
      </c>
      <c r="H349" s="2">
        <v>4.5</v>
      </c>
      <c r="I349" s="1">
        <v>45616</v>
      </c>
      <c r="J349">
        <v>2762</v>
      </c>
      <c r="K349">
        <f t="shared" si="10"/>
        <v>-1699</v>
      </c>
      <c r="L349" t="str">
        <f t="shared" si="11"/>
        <v>Underpriced</v>
      </c>
    </row>
    <row r="350" spans="1:12" x14ac:dyDescent="0.3">
      <c r="A350">
        <v>459</v>
      </c>
      <c r="B350" t="s">
        <v>23</v>
      </c>
      <c r="C350" t="s">
        <v>16</v>
      </c>
      <c r="D350">
        <v>3239</v>
      </c>
      <c r="E350">
        <v>1397</v>
      </c>
      <c r="F350">
        <v>4770</v>
      </c>
      <c r="G350">
        <v>471</v>
      </c>
      <c r="H350" s="2">
        <v>3.9725388601036289</v>
      </c>
      <c r="I350" s="1">
        <v>45557</v>
      </c>
      <c r="J350">
        <v>3083.5</v>
      </c>
      <c r="K350">
        <f t="shared" si="10"/>
        <v>155.5</v>
      </c>
      <c r="L350" t="str">
        <f t="shared" si="11"/>
        <v>Overpriced</v>
      </c>
    </row>
    <row r="351" spans="1:12" x14ac:dyDescent="0.3">
      <c r="A351">
        <v>460</v>
      </c>
      <c r="B351" t="s">
        <v>18</v>
      </c>
      <c r="C351" t="s">
        <v>19</v>
      </c>
      <c r="D351">
        <v>5084</v>
      </c>
      <c r="E351">
        <v>3962</v>
      </c>
      <c r="F351">
        <v>1401</v>
      </c>
      <c r="G351">
        <v>134</v>
      </c>
      <c r="H351" s="2">
        <v>3.3</v>
      </c>
      <c r="I351" s="1">
        <v>45573</v>
      </c>
      <c r="J351">
        <v>2681.5</v>
      </c>
      <c r="K351">
        <f t="shared" si="10"/>
        <v>2402.5</v>
      </c>
      <c r="L351" t="str">
        <f t="shared" si="11"/>
        <v>Overpriced</v>
      </c>
    </row>
    <row r="352" spans="1:12" x14ac:dyDescent="0.3">
      <c r="A352">
        <v>461</v>
      </c>
      <c r="B352" t="s">
        <v>25</v>
      </c>
      <c r="C352" t="s">
        <v>14</v>
      </c>
      <c r="D352">
        <v>712</v>
      </c>
      <c r="E352">
        <v>712</v>
      </c>
      <c r="F352">
        <v>712</v>
      </c>
      <c r="G352">
        <v>464</v>
      </c>
      <c r="H352" s="2">
        <v>3.2</v>
      </c>
      <c r="I352" s="1">
        <v>45573</v>
      </c>
      <c r="J352">
        <v>712</v>
      </c>
      <c r="K352">
        <f t="shared" si="10"/>
        <v>0</v>
      </c>
      <c r="L352" t="str">
        <f t="shared" si="11"/>
        <v>Competitive</v>
      </c>
    </row>
    <row r="353" spans="1:12" x14ac:dyDescent="0.3">
      <c r="A353">
        <v>462</v>
      </c>
      <c r="B353" t="s">
        <v>11</v>
      </c>
      <c r="C353" t="s">
        <v>12</v>
      </c>
      <c r="D353">
        <v>4629</v>
      </c>
      <c r="E353">
        <v>5891</v>
      </c>
      <c r="F353">
        <v>5891</v>
      </c>
      <c r="G353">
        <v>286</v>
      </c>
      <c r="H353" s="2">
        <v>3.9725388601036289</v>
      </c>
      <c r="I353" s="1">
        <v>45555</v>
      </c>
      <c r="J353">
        <v>5891</v>
      </c>
      <c r="K353">
        <f t="shared" si="10"/>
        <v>-1262</v>
      </c>
      <c r="L353" t="str">
        <f t="shared" si="11"/>
        <v>Underpriced</v>
      </c>
    </row>
    <row r="354" spans="1:12" x14ac:dyDescent="0.3">
      <c r="A354">
        <v>463</v>
      </c>
      <c r="B354" t="s">
        <v>9</v>
      </c>
      <c r="C354" t="s">
        <v>19</v>
      </c>
      <c r="D354">
        <v>3200</v>
      </c>
      <c r="E354">
        <v>2422</v>
      </c>
      <c r="F354">
        <v>4551</v>
      </c>
      <c r="G354">
        <v>464</v>
      </c>
      <c r="H354" s="2">
        <v>3.8</v>
      </c>
      <c r="I354" s="1">
        <v>45594</v>
      </c>
      <c r="J354">
        <v>3486.5</v>
      </c>
      <c r="K354">
        <f t="shared" si="10"/>
        <v>-286.5</v>
      </c>
      <c r="L354" t="str">
        <f t="shared" si="11"/>
        <v>Underpriced</v>
      </c>
    </row>
    <row r="355" spans="1:12" x14ac:dyDescent="0.3">
      <c r="A355">
        <v>464</v>
      </c>
      <c r="B355" t="s">
        <v>24</v>
      </c>
      <c r="C355" t="s">
        <v>16</v>
      </c>
      <c r="D355">
        <v>5769</v>
      </c>
      <c r="E355">
        <v>5769</v>
      </c>
      <c r="F355">
        <v>5769</v>
      </c>
      <c r="G355">
        <v>480</v>
      </c>
      <c r="H355" s="2">
        <v>3.9725388601036289</v>
      </c>
      <c r="I355" s="1">
        <v>45546</v>
      </c>
      <c r="J355">
        <v>5769</v>
      </c>
      <c r="K355">
        <f t="shared" si="10"/>
        <v>0</v>
      </c>
      <c r="L355" t="str">
        <f t="shared" si="11"/>
        <v>Competitive</v>
      </c>
    </row>
    <row r="356" spans="1:12" x14ac:dyDescent="0.3">
      <c r="A356">
        <v>465</v>
      </c>
      <c r="B356" t="s">
        <v>23</v>
      </c>
      <c r="C356" t="s">
        <v>12</v>
      </c>
      <c r="D356">
        <v>1924</v>
      </c>
      <c r="E356">
        <v>1924</v>
      </c>
      <c r="F356">
        <v>1924</v>
      </c>
      <c r="G356">
        <v>430</v>
      </c>
      <c r="H356" s="2">
        <v>3.9725388601036289</v>
      </c>
      <c r="I356" s="1">
        <v>45538</v>
      </c>
      <c r="J356">
        <v>1924</v>
      </c>
      <c r="K356">
        <f t="shared" si="10"/>
        <v>0</v>
      </c>
      <c r="L356" t="str">
        <f t="shared" si="11"/>
        <v>Competitive</v>
      </c>
    </row>
    <row r="357" spans="1:12" x14ac:dyDescent="0.3">
      <c r="A357">
        <v>466</v>
      </c>
      <c r="B357" t="s">
        <v>21</v>
      </c>
      <c r="C357" t="s">
        <v>16</v>
      </c>
      <c r="D357">
        <v>4154</v>
      </c>
      <c r="E357">
        <v>1906</v>
      </c>
      <c r="F357">
        <v>3460</v>
      </c>
      <c r="G357">
        <v>260</v>
      </c>
      <c r="H357" s="2">
        <v>4.5999999999999996</v>
      </c>
      <c r="I357" s="1">
        <v>45576</v>
      </c>
      <c r="J357">
        <v>2683</v>
      </c>
      <c r="K357">
        <f t="shared" si="10"/>
        <v>1471</v>
      </c>
      <c r="L357" t="str">
        <f t="shared" si="11"/>
        <v>Overpriced</v>
      </c>
    </row>
    <row r="358" spans="1:12" x14ac:dyDescent="0.3">
      <c r="A358">
        <v>467</v>
      </c>
      <c r="B358" t="s">
        <v>30</v>
      </c>
      <c r="C358" t="s">
        <v>10</v>
      </c>
      <c r="D358">
        <v>503</v>
      </c>
      <c r="E358">
        <v>503</v>
      </c>
      <c r="F358">
        <v>503</v>
      </c>
      <c r="G358">
        <v>408</v>
      </c>
      <c r="H358" s="2">
        <v>3.9725388601036289</v>
      </c>
      <c r="I358" s="1">
        <v>45569</v>
      </c>
      <c r="J358">
        <v>503</v>
      </c>
      <c r="K358">
        <f t="shared" si="10"/>
        <v>0</v>
      </c>
      <c r="L358" t="str">
        <f t="shared" si="11"/>
        <v>Competitive</v>
      </c>
    </row>
    <row r="359" spans="1:12" x14ac:dyDescent="0.3">
      <c r="A359">
        <v>469</v>
      </c>
      <c r="B359" t="s">
        <v>20</v>
      </c>
      <c r="C359" t="s">
        <v>14</v>
      </c>
      <c r="D359">
        <v>3030</v>
      </c>
      <c r="E359">
        <v>3210</v>
      </c>
      <c r="F359">
        <v>3210</v>
      </c>
      <c r="G359">
        <v>224</v>
      </c>
      <c r="H359" s="2">
        <v>4.5999999999999996</v>
      </c>
      <c r="I359" s="1">
        <v>45592</v>
      </c>
      <c r="J359">
        <v>3210</v>
      </c>
      <c r="K359">
        <f t="shared" si="10"/>
        <v>-180</v>
      </c>
      <c r="L359" t="str">
        <f t="shared" si="11"/>
        <v>Underpriced</v>
      </c>
    </row>
    <row r="360" spans="1:12" x14ac:dyDescent="0.3">
      <c r="A360">
        <v>475</v>
      </c>
      <c r="B360" t="s">
        <v>18</v>
      </c>
      <c r="C360" t="s">
        <v>19</v>
      </c>
      <c r="D360">
        <v>1726</v>
      </c>
      <c r="E360">
        <v>1413</v>
      </c>
      <c r="F360">
        <v>1413</v>
      </c>
      <c r="G360">
        <v>107</v>
      </c>
      <c r="H360" s="2">
        <v>3.9725388601036289</v>
      </c>
      <c r="I360" s="1">
        <v>45570</v>
      </c>
      <c r="J360">
        <v>1413</v>
      </c>
      <c r="K360">
        <f t="shared" si="10"/>
        <v>313</v>
      </c>
      <c r="L360" t="str">
        <f t="shared" si="11"/>
        <v>Overpriced</v>
      </c>
    </row>
    <row r="361" spans="1:12" x14ac:dyDescent="0.3">
      <c r="A361">
        <v>476</v>
      </c>
      <c r="B361" t="s">
        <v>29</v>
      </c>
      <c r="C361" t="s">
        <v>10</v>
      </c>
      <c r="D361">
        <v>4564</v>
      </c>
      <c r="E361">
        <v>4036</v>
      </c>
      <c r="F361">
        <v>4036</v>
      </c>
      <c r="G361">
        <v>170</v>
      </c>
      <c r="H361" s="2">
        <v>4.2</v>
      </c>
      <c r="I361" s="1">
        <v>45573</v>
      </c>
      <c r="J361">
        <v>4036</v>
      </c>
      <c r="K361">
        <f t="shared" si="10"/>
        <v>528</v>
      </c>
      <c r="L361" t="str">
        <f t="shared" si="11"/>
        <v>Overpriced</v>
      </c>
    </row>
    <row r="362" spans="1:12" x14ac:dyDescent="0.3">
      <c r="A362">
        <v>477</v>
      </c>
      <c r="B362" t="s">
        <v>27</v>
      </c>
      <c r="C362" t="s">
        <v>14</v>
      </c>
      <c r="D362">
        <v>3301</v>
      </c>
      <c r="E362">
        <v>5851</v>
      </c>
      <c r="F362">
        <v>751</v>
      </c>
      <c r="G362">
        <v>208</v>
      </c>
      <c r="H362" s="2">
        <v>4.5999999999999996</v>
      </c>
      <c r="I362" s="1">
        <v>45537</v>
      </c>
      <c r="J362">
        <v>3301</v>
      </c>
      <c r="K362">
        <f t="shared" si="10"/>
        <v>0</v>
      </c>
      <c r="L362" t="str">
        <f t="shared" si="11"/>
        <v>Competitive</v>
      </c>
    </row>
    <row r="363" spans="1:12" x14ac:dyDescent="0.3">
      <c r="A363">
        <v>478</v>
      </c>
      <c r="B363" t="s">
        <v>15</v>
      </c>
      <c r="C363" t="s">
        <v>19</v>
      </c>
      <c r="D363">
        <v>5519</v>
      </c>
      <c r="E363">
        <v>2523</v>
      </c>
      <c r="F363">
        <v>2523</v>
      </c>
      <c r="G363">
        <v>333</v>
      </c>
      <c r="H363" s="2">
        <v>3.9725388601036289</v>
      </c>
      <c r="I363" s="1">
        <v>45587</v>
      </c>
      <c r="J363">
        <v>2523</v>
      </c>
      <c r="K363">
        <f t="shared" si="10"/>
        <v>2996</v>
      </c>
      <c r="L363" t="str">
        <f t="shared" si="11"/>
        <v>Overpriced</v>
      </c>
    </row>
    <row r="364" spans="1:12" x14ac:dyDescent="0.3">
      <c r="A364">
        <v>479</v>
      </c>
      <c r="B364" t="s">
        <v>22</v>
      </c>
      <c r="C364" t="s">
        <v>14</v>
      </c>
      <c r="D364">
        <v>4796</v>
      </c>
      <c r="E364">
        <v>4796</v>
      </c>
      <c r="F364">
        <v>4796</v>
      </c>
      <c r="G364">
        <v>314</v>
      </c>
      <c r="H364" s="2">
        <v>3.9725388601036289</v>
      </c>
      <c r="I364" s="1">
        <v>45539</v>
      </c>
      <c r="J364">
        <v>4796</v>
      </c>
      <c r="K364">
        <f t="shared" si="10"/>
        <v>0</v>
      </c>
      <c r="L364" t="str">
        <f t="shared" si="11"/>
        <v>Competitive</v>
      </c>
    </row>
    <row r="365" spans="1:12" x14ac:dyDescent="0.3">
      <c r="A365">
        <v>480</v>
      </c>
      <c r="B365" t="s">
        <v>13</v>
      </c>
      <c r="C365" t="s">
        <v>12</v>
      </c>
      <c r="D365">
        <v>1185</v>
      </c>
      <c r="E365">
        <v>5499</v>
      </c>
      <c r="F365">
        <v>5499</v>
      </c>
      <c r="G365">
        <v>287</v>
      </c>
      <c r="H365" s="2">
        <v>3.9725388601036289</v>
      </c>
      <c r="I365" s="1">
        <v>45622</v>
      </c>
      <c r="J365">
        <v>5499</v>
      </c>
      <c r="K365">
        <f t="shared" si="10"/>
        <v>-4314</v>
      </c>
      <c r="L365" t="str">
        <f t="shared" si="11"/>
        <v>Underpriced</v>
      </c>
    </row>
    <row r="366" spans="1:12" x14ac:dyDescent="0.3">
      <c r="A366">
        <v>481</v>
      </c>
      <c r="B366" t="s">
        <v>22</v>
      </c>
      <c r="C366" t="s">
        <v>14</v>
      </c>
      <c r="D366">
        <v>1469</v>
      </c>
      <c r="E366">
        <v>1469</v>
      </c>
      <c r="F366">
        <v>1469</v>
      </c>
      <c r="G366">
        <v>478</v>
      </c>
      <c r="H366" s="2">
        <v>3.9725388601036289</v>
      </c>
      <c r="I366" s="1">
        <v>45543</v>
      </c>
      <c r="J366">
        <v>1469</v>
      </c>
      <c r="K366">
        <f t="shared" si="10"/>
        <v>0</v>
      </c>
      <c r="L366" t="str">
        <f t="shared" si="11"/>
        <v>Competitive</v>
      </c>
    </row>
    <row r="367" spans="1:12" x14ac:dyDescent="0.3">
      <c r="A367">
        <v>482</v>
      </c>
      <c r="B367" t="s">
        <v>29</v>
      </c>
      <c r="C367" t="s">
        <v>16</v>
      </c>
      <c r="D367">
        <v>4218</v>
      </c>
      <c r="E367">
        <v>4218</v>
      </c>
      <c r="F367">
        <v>4218</v>
      </c>
      <c r="G367">
        <v>153</v>
      </c>
      <c r="H367" s="2">
        <v>3.9725388601036289</v>
      </c>
      <c r="I367" s="1">
        <v>45588</v>
      </c>
      <c r="J367">
        <v>4218</v>
      </c>
      <c r="K367">
        <f t="shared" si="10"/>
        <v>0</v>
      </c>
      <c r="L367" t="str">
        <f t="shared" si="11"/>
        <v>Competitive</v>
      </c>
    </row>
    <row r="368" spans="1:12" x14ac:dyDescent="0.3">
      <c r="A368">
        <v>483</v>
      </c>
      <c r="B368" t="s">
        <v>29</v>
      </c>
      <c r="C368" t="s">
        <v>16</v>
      </c>
      <c r="D368">
        <v>2666</v>
      </c>
      <c r="E368">
        <v>240</v>
      </c>
      <c r="F368">
        <v>5092</v>
      </c>
      <c r="G368">
        <v>252</v>
      </c>
      <c r="H368" s="2">
        <v>3.9725388601036289</v>
      </c>
      <c r="I368" s="1">
        <v>45625</v>
      </c>
      <c r="J368">
        <v>2666</v>
      </c>
      <c r="K368">
        <f t="shared" si="10"/>
        <v>0</v>
      </c>
      <c r="L368" t="str">
        <f t="shared" si="11"/>
        <v>Competitive</v>
      </c>
    </row>
    <row r="369" spans="1:12" x14ac:dyDescent="0.3">
      <c r="A369">
        <v>484</v>
      </c>
      <c r="B369" t="s">
        <v>33</v>
      </c>
      <c r="C369" t="s">
        <v>12</v>
      </c>
      <c r="D369">
        <v>2923</v>
      </c>
      <c r="E369">
        <v>2923</v>
      </c>
      <c r="F369">
        <v>2923</v>
      </c>
      <c r="G369">
        <v>331</v>
      </c>
      <c r="H369" s="2">
        <v>3.4</v>
      </c>
      <c r="I369" s="1">
        <v>45603</v>
      </c>
      <c r="J369">
        <v>2923</v>
      </c>
      <c r="K369">
        <f t="shared" si="10"/>
        <v>0</v>
      </c>
      <c r="L369" t="str">
        <f t="shared" si="11"/>
        <v>Competitive</v>
      </c>
    </row>
    <row r="370" spans="1:12" x14ac:dyDescent="0.3">
      <c r="A370">
        <v>485</v>
      </c>
      <c r="B370" t="s">
        <v>30</v>
      </c>
      <c r="C370" t="s">
        <v>19</v>
      </c>
      <c r="D370">
        <v>3081.5</v>
      </c>
      <c r="E370">
        <v>5441</v>
      </c>
      <c r="F370">
        <v>722</v>
      </c>
      <c r="G370">
        <v>218</v>
      </c>
      <c r="H370" s="2">
        <v>4.5999999999999996</v>
      </c>
      <c r="I370" s="1">
        <v>45604</v>
      </c>
      <c r="J370">
        <v>3081.5</v>
      </c>
      <c r="K370">
        <f t="shared" si="10"/>
        <v>0</v>
      </c>
      <c r="L370" t="str">
        <f t="shared" si="11"/>
        <v>Competitive</v>
      </c>
    </row>
    <row r="371" spans="1:12" x14ac:dyDescent="0.3">
      <c r="A371">
        <v>486</v>
      </c>
      <c r="B371" t="s">
        <v>24</v>
      </c>
      <c r="C371" t="s">
        <v>10</v>
      </c>
      <c r="D371">
        <v>4600</v>
      </c>
      <c r="E371">
        <v>4600</v>
      </c>
      <c r="F371">
        <v>4600</v>
      </c>
      <c r="G371">
        <v>281</v>
      </c>
      <c r="H371" s="2">
        <v>3.8</v>
      </c>
      <c r="I371" s="1">
        <v>45594</v>
      </c>
      <c r="J371">
        <v>4600</v>
      </c>
      <c r="K371">
        <f t="shared" si="10"/>
        <v>0</v>
      </c>
      <c r="L371" t="str">
        <f t="shared" si="11"/>
        <v>Competitive</v>
      </c>
    </row>
    <row r="372" spans="1:12" x14ac:dyDescent="0.3">
      <c r="A372">
        <v>489</v>
      </c>
      <c r="B372" t="s">
        <v>24</v>
      </c>
      <c r="C372" t="s">
        <v>12</v>
      </c>
      <c r="D372">
        <v>2637</v>
      </c>
      <c r="E372">
        <v>2669</v>
      </c>
      <c r="F372">
        <v>2669</v>
      </c>
      <c r="G372">
        <v>300</v>
      </c>
      <c r="H372" s="2">
        <v>3.3</v>
      </c>
      <c r="I372" s="1">
        <v>45600</v>
      </c>
      <c r="J372">
        <v>2669</v>
      </c>
      <c r="K372">
        <f t="shared" si="10"/>
        <v>-32</v>
      </c>
      <c r="L372" t="str">
        <f t="shared" si="11"/>
        <v>Competitive</v>
      </c>
    </row>
    <row r="373" spans="1:12" x14ac:dyDescent="0.3">
      <c r="A373">
        <v>490</v>
      </c>
      <c r="B373" t="s">
        <v>28</v>
      </c>
      <c r="C373" t="s">
        <v>10</v>
      </c>
      <c r="D373">
        <v>1077</v>
      </c>
      <c r="E373">
        <v>3470</v>
      </c>
      <c r="F373">
        <v>4690</v>
      </c>
      <c r="G373">
        <v>201</v>
      </c>
      <c r="H373" s="2">
        <v>3.9725388601036289</v>
      </c>
      <c r="I373" s="1">
        <v>45549</v>
      </c>
      <c r="J373">
        <v>4080</v>
      </c>
      <c r="K373">
        <f t="shared" si="10"/>
        <v>-3003</v>
      </c>
      <c r="L373" t="str">
        <f t="shared" si="11"/>
        <v>Underpriced</v>
      </c>
    </row>
    <row r="374" spans="1:12" x14ac:dyDescent="0.3">
      <c r="A374">
        <v>491</v>
      </c>
      <c r="B374" t="s">
        <v>23</v>
      </c>
      <c r="C374" t="s">
        <v>12</v>
      </c>
      <c r="D374">
        <v>3032</v>
      </c>
      <c r="E374">
        <v>5129</v>
      </c>
      <c r="F374">
        <v>5129</v>
      </c>
      <c r="G374">
        <v>46</v>
      </c>
      <c r="H374" s="2">
        <v>3.9725388601036289</v>
      </c>
      <c r="I374" s="1">
        <v>45598</v>
      </c>
      <c r="J374">
        <v>5129</v>
      </c>
      <c r="K374">
        <f t="shared" si="10"/>
        <v>-2097</v>
      </c>
      <c r="L374" t="str">
        <f t="shared" si="11"/>
        <v>Underpriced</v>
      </c>
    </row>
    <row r="375" spans="1:12" x14ac:dyDescent="0.3">
      <c r="A375">
        <v>492</v>
      </c>
      <c r="B375" t="s">
        <v>33</v>
      </c>
      <c r="C375" t="s">
        <v>14</v>
      </c>
      <c r="D375">
        <v>2773.5</v>
      </c>
      <c r="E375">
        <v>3285</v>
      </c>
      <c r="F375">
        <v>2262</v>
      </c>
      <c r="G375">
        <v>99</v>
      </c>
      <c r="H375" s="2">
        <v>4.4000000000000004</v>
      </c>
      <c r="I375" s="1">
        <v>45594</v>
      </c>
      <c r="J375">
        <v>2773.5</v>
      </c>
      <c r="K375">
        <f t="shared" si="10"/>
        <v>0</v>
      </c>
      <c r="L375" t="str">
        <f t="shared" si="11"/>
        <v>Competitive</v>
      </c>
    </row>
    <row r="376" spans="1:12" x14ac:dyDescent="0.3">
      <c r="A376">
        <v>494</v>
      </c>
      <c r="B376" t="s">
        <v>13</v>
      </c>
      <c r="C376" t="s">
        <v>12</v>
      </c>
      <c r="D376">
        <v>2300.5</v>
      </c>
      <c r="E376">
        <v>990</v>
      </c>
      <c r="F376">
        <v>3611</v>
      </c>
      <c r="G376">
        <v>19</v>
      </c>
      <c r="H376" s="2">
        <v>3.6</v>
      </c>
      <c r="I376" s="1">
        <v>45591</v>
      </c>
      <c r="J376">
        <v>2300.5</v>
      </c>
      <c r="K376">
        <f t="shared" si="10"/>
        <v>0</v>
      </c>
      <c r="L376" t="str">
        <f t="shared" si="11"/>
        <v>Competitive</v>
      </c>
    </row>
    <row r="377" spans="1:12" x14ac:dyDescent="0.3">
      <c r="A377">
        <v>495</v>
      </c>
      <c r="B377" t="s">
        <v>18</v>
      </c>
      <c r="C377" t="s">
        <v>19</v>
      </c>
      <c r="D377">
        <v>401</v>
      </c>
      <c r="E377">
        <v>4556</v>
      </c>
      <c r="F377">
        <v>4556</v>
      </c>
      <c r="G377">
        <v>371</v>
      </c>
      <c r="H377" s="2">
        <v>3.9725388601036289</v>
      </c>
      <c r="I377" s="1">
        <v>45623</v>
      </c>
      <c r="J377">
        <v>4556</v>
      </c>
      <c r="K377">
        <f t="shared" si="10"/>
        <v>-4155</v>
      </c>
      <c r="L377" t="str">
        <f t="shared" si="11"/>
        <v>Underpriced</v>
      </c>
    </row>
    <row r="378" spans="1:12" x14ac:dyDescent="0.3">
      <c r="A378">
        <v>496</v>
      </c>
      <c r="B378" t="s">
        <v>15</v>
      </c>
      <c r="C378" t="s">
        <v>12</v>
      </c>
      <c r="D378">
        <v>5926</v>
      </c>
      <c r="E378">
        <v>5926</v>
      </c>
      <c r="F378">
        <v>5926</v>
      </c>
      <c r="G378">
        <v>43</v>
      </c>
      <c r="H378" s="2">
        <v>4.0999999999999996</v>
      </c>
      <c r="I378" s="1">
        <v>45608</v>
      </c>
      <c r="J378">
        <v>5926</v>
      </c>
      <c r="K378">
        <f t="shared" si="10"/>
        <v>0</v>
      </c>
      <c r="L378" t="str">
        <f t="shared" si="11"/>
        <v>Competitive</v>
      </c>
    </row>
    <row r="379" spans="1:12" x14ac:dyDescent="0.3">
      <c r="A379">
        <v>497</v>
      </c>
      <c r="B379" t="s">
        <v>25</v>
      </c>
      <c r="C379" t="s">
        <v>10</v>
      </c>
      <c r="D379">
        <v>4094</v>
      </c>
      <c r="E379">
        <v>4345</v>
      </c>
      <c r="F379">
        <v>3843</v>
      </c>
      <c r="G379">
        <v>233</v>
      </c>
      <c r="H379" s="2">
        <v>3.9725388601036289</v>
      </c>
      <c r="I379" s="1">
        <v>45621</v>
      </c>
      <c r="J379">
        <v>4094</v>
      </c>
      <c r="K379">
        <f t="shared" si="10"/>
        <v>0</v>
      </c>
      <c r="L379" t="str">
        <f t="shared" si="11"/>
        <v>Competitive</v>
      </c>
    </row>
    <row r="380" spans="1:12" x14ac:dyDescent="0.3">
      <c r="A380">
        <v>499</v>
      </c>
      <c r="B380" t="s">
        <v>26</v>
      </c>
      <c r="C380" t="s">
        <v>14</v>
      </c>
      <c r="D380">
        <v>4202</v>
      </c>
      <c r="E380">
        <v>4269</v>
      </c>
      <c r="F380">
        <v>3547</v>
      </c>
      <c r="G380">
        <v>17</v>
      </c>
      <c r="H380" s="2">
        <v>3.9725388601036289</v>
      </c>
      <c r="I380" s="1">
        <v>45595</v>
      </c>
      <c r="J380">
        <v>3908</v>
      </c>
      <c r="K380">
        <f t="shared" si="10"/>
        <v>294</v>
      </c>
      <c r="L380" t="str">
        <f t="shared" si="11"/>
        <v>Overpriced</v>
      </c>
    </row>
    <row r="381" spans="1:12" x14ac:dyDescent="0.3">
      <c r="A381">
        <v>500</v>
      </c>
      <c r="B381" t="s">
        <v>27</v>
      </c>
      <c r="C381" t="s">
        <v>14</v>
      </c>
      <c r="D381">
        <v>4102</v>
      </c>
      <c r="E381">
        <v>918</v>
      </c>
      <c r="F381">
        <v>2510</v>
      </c>
      <c r="G381">
        <v>388</v>
      </c>
      <c r="H381" s="2">
        <v>4.5</v>
      </c>
      <c r="I381" s="1">
        <v>45557</v>
      </c>
      <c r="J381">
        <v>1714</v>
      </c>
      <c r="K381">
        <f t="shared" si="10"/>
        <v>2388</v>
      </c>
      <c r="L381" t="str">
        <f t="shared" si="11"/>
        <v>Overpriced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0E8B-2D22-4D75-9EE4-FB2C99FCF477}">
  <dimension ref="A1:M14"/>
  <sheetViews>
    <sheetView tabSelected="1" topLeftCell="G1" workbookViewId="0">
      <selection activeCell="V13" sqref="V13"/>
    </sheetView>
  </sheetViews>
  <sheetFormatPr defaultRowHeight="14.4" x14ac:dyDescent="0.3"/>
  <cols>
    <col min="1" max="1" width="12.5546875" bestFit="1" customWidth="1"/>
    <col min="2" max="2" width="20.88671875" bestFit="1" customWidth="1"/>
    <col min="4" max="4" width="21.77734375" customWidth="1"/>
    <col min="5" max="5" width="14.109375" customWidth="1"/>
    <col min="7" max="7" width="20.88671875" bestFit="1" customWidth="1"/>
    <col min="8" max="8" width="15.5546875" bestFit="1" customWidth="1"/>
    <col min="9" max="9" width="10.21875" bestFit="1" customWidth="1"/>
    <col min="10" max="10" width="11.44140625" bestFit="1" customWidth="1"/>
    <col min="11" max="11" width="10.77734375" bestFit="1" customWidth="1"/>
    <col min="12" max="12" width="16.109375" bestFit="1" customWidth="1"/>
    <col min="13" max="13" width="21.44140625" bestFit="1" customWidth="1"/>
    <col min="14" max="14" width="10.21875" bestFit="1" customWidth="1"/>
    <col min="15" max="15" width="11.44140625" bestFit="1" customWidth="1"/>
    <col min="16" max="16" width="10.77734375" bestFit="1" customWidth="1"/>
  </cols>
  <sheetData>
    <row r="1" spans="1:13" x14ac:dyDescent="0.3">
      <c r="L1" s="3" t="s">
        <v>36</v>
      </c>
      <c r="M1" t="s">
        <v>39</v>
      </c>
    </row>
    <row r="3" spans="1:13" x14ac:dyDescent="0.3">
      <c r="A3" s="3" t="s">
        <v>37</v>
      </c>
      <c r="B3" t="s">
        <v>42</v>
      </c>
      <c r="D3" s="6" t="s">
        <v>43</v>
      </c>
      <c r="E3" s="6" t="s">
        <v>44</v>
      </c>
      <c r="G3" s="3" t="s">
        <v>42</v>
      </c>
      <c r="H3" s="3" t="s">
        <v>47</v>
      </c>
      <c r="L3" s="3" t="s">
        <v>37</v>
      </c>
      <c r="M3" t="s">
        <v>49</v>
      </c>
    </row>
    <row r="4" spans="1:13" x14ac:dyDescent="0.3">
      <c r="A4" s="4" t="s">
        <v>38</v>
      </c>
      <c r="B4" s="5">
        <v>209</v>
      </c>
      <c r="D4" s="7" t="s">
        <v>45</v>
      </c>
      <c r="E4" s="7">
        <f>AVERAGE(ecommerce_pricing_cleaned!D2:D381)</f>
        <v>3244.0881578947369</v>
      </c>
      <c r="G4" s="3" t="s">
        <v>37</v>
      </c>
      <c r="H4" t="s">
        <v>38</v>
      </c>
      <c r="I4" t="s">
        <v>39</v>
      </c>
      <c r="J4" t="s">
        <v>40</v>
      </c>
      <c r="L4" s="4" t="s">
        <v>23</v>
      </c>
      <c r="M4" s="5">
        <v>4994</v>
      </c>
    </row>
    <row r="5" spans="1:13" x14ac:dyDescent="0.3">
      <c r="A5" s="4" t="s">
        <v>39</v>
      </c>
      <c r="B5" s="5">
        <v>95</v>
      </c>
      <c r="D5" s="7" t="s">
        <v>46</v>
      </c>
      <c r="E5" s="7">
        <f>AVERAGE(ecommerce_pricing_cleaned!J2:J381)</f>
        <v>3172.8934210526318</v>
      </c>
      <c r="G5" s="4" t="s">
        <v>16</v>
      </c>
      <c r="H5" s="5">
        <v>38</v>
      </c>
      <c r="I5" s="5">
        <v>20</v>
      </c>
      <c r="J5" s="5">
        <v>14</v>
      </c>
      <c r="L5" s="4" t="s">
        <v>21</v>
      </c>
      <c r="M5" s="5">
        <v>4887</v>
      </c>
    </row>
    <row r="6" spans="1:13" x14ac:dyDescent="0.3">
      <c r="A6" s="4" t="s">
        <v>40</v>
      </c>
      <c r="B6" s="5">
        <v>76</v>
      </c>
      <c r="G6" s="4" t="s">
        <v>14</v>
      </c>
      <c r="H6" s="5">
        <v>46</v>
      </c>
      <c r="I6" s="5">
        <v>19</v>
      </c>
      <c r="J6" s="5">
        <v>15</v>
      </c>
      <c r="L6" s="4" t="s">
        <v>13</v>
      </c>
      <c r="M6" s="5">
        <v>4737</v>
      </c>
    </row>
    <row r="7" spans="1:13" x14ac:dyDescent="0.3">
      <c r="A7" s="4" t="s">
        <v>41</v>
      </c>
      <c r="B7" s="5">
        <v>380</v>
      </c>
      <c r="D7" s="8" t="s">
        <v>48</v>
      </c>
      <c r="G7" s="4" t="s">
        <v>19</v>
      </c>
      <c r="H7" s="5">
        <v>35</v>
      </c>
      <c r="I7" s="5">
        <v>21</v>
      </c>
      <c r="J7" s="5">
        <v>16</v>
      </c>
      <c r="L7" s="4" t="s">
        <v>27</v>
      </c>
      <c r="M7" s="5">
        <v>4686</v>
      </c>
    </row>
    <row r="8" spans="1:13" x14ac:dyDescent="0.3">
      <c r="D8">
        <f>COUNTA(ecommerce_pricing_cleaned!B2:B381)</f>
        <v>380</v>
      </c>
      <c r="G8" s="4" t="s">
        <v>12</v>
      </c>
      <c r="H8" s="5">
        <v>57</v>
      </c>
      <c r="I8" s="5">
        <v>14</v>
      </c>
      <c r="J8" s="5">
        <v>17</v>
      </c>
      <c r="L8" s="4" t="s">
        <v>29</v>
      </c>
      <c r="M8" s="5">
        <v>4133</v>
      </c>
    </row>
    <row r="9" spans="1:13" x14ac:dyDescent="0.3">
      <c r="G9" s="4" t="s">
        <v>10</v>
      </c>
      <c r="H9" s="5">
        <v>33</v>
      </c>
      <c r="I9" s="5">
        <v>21</v>
      </c>
      <c r="J9" s="5">
        <v>14</v>
      </c>
      <c r="L9" s="4" t="s">
        <v>33</v>
      </c>
      <c r="M9" s="5">
        <v>3816</v>
      </c>
    </row>
    <row r="10" spans="1:13" x14ac:dyDescent="0.3">
      <c r="L10" s="4" t="s">
        <v>28</v>
      </c>
      <c r="M10" s="5">
        <v>3532</v>
      </c>
    </row>
    <row r="11" spans="1:13" x14ac:dyDescent="0.3">
      <c r="L11" s="4" t="s">
        <v>24</v>
      </c>
      <c r="M11" s="5">
        <v>3469</v>
      </c>
    </row>
    <row r="12" spans="1:13" x14ac:dyDescent="0.3">
      <c r="L12" s="4" t="s">
        <v>32</v>
      </c>
      <c r="M12" s="5">
        <v>3463</v>
      </c>
    </row>
    <row r="13" spans="1:13" x14ac:dyDescent="0.3">
      <c r="L13" s="4" t="s">
        <v>11</v>
      </c>
      <c r="M13" s="5">
        <v>3409</v>
      </c>
    </row>
    <row r="14" spans="1:13" x14ac:dyDescent="0.3">
      <c r="L14" s="4" t="s">
        <v>41</v>
      </c>
      <c r="M14" s="5">
        <v>4994</v>
      </c>
    </row>
  </sheetData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ecommerce_pricing_cleaned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HASNAHAZIQA</dc:creator>
  <cp:lastModifiedBy>HASNAHAZIQA</cp:lastModifiedBy>
  <dcterms:created xsi:type="dcterms:W3CDTF">2026-02-12T14:38:13Z</dcterms:created>
  <dcterms:modified xsi:type="dcterms:W3CDTF">2026-03-29T09:52:07Z</dcterms:modified>
</cp:coreProperties>
</file>